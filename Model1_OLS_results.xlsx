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48de75f6c8bb213/Desktop/MSISML/Subjects/11-Info-698-Projet/Project dataset/"/>
    </mc:Choice>
  </mc:AlternateContent>
  <xr:revisionPtr revIDLastSave="205" documentId="11_2843785F2BD308AAEFA7EF6CD6647317C40690D4" xr6:coauthVersionLast="47" xr6:coauthVersionMax="47" xr10:uidLastSave="{9FEB7554-8FAB-4AFB-81E8-4E404723721D}"/>
  <bookViews>
    <workbookView xWindow="-108" yWindow="-108" windowWidth="23256" windowHeight="13896" activeTab="3" xr2:uid="{00000000-000D-0000-FFFF-FFFF00000000}"/>
  </bookViews>
  <sheets>
    <sheet name="Coefficients" sheetId="1" r:id="rId1"/>
    <sheet name="Sheet2" sheetId="4" r:id="rId2"/>
    <sheet name="Metrics" sheetId="2" r:id="rId3"/>
    <sheet name="Sheet3" sheetId="5" r:id="rId4"/>
    <sheet name="Sheet1" sheetId="3" state="hidden" r:id="rId5"/>
  </sheets>
  <definedNames>
    <definedName name="_xlnm._FilterDatabase" localSheetId="0" hidden="1">Coefficients!$A$1:$H$1</definedName>
    <definedName name="_xlnm._FilterDatabase" localSheetId="4" hidden="1">Sheet1!$B$2:$J$2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D27" i="5"/>
  <c r="D8" i="5"/>
  <c r="D4" i="5"/>
  <c r="D9" i="5"/>
  <c r="D3" i="5"/>
  <c r="D14" i="5"/>
  <c r="D21" i="5"/>
  <c r="D19" i="5"/>
  <c r="D23" i="5"/>
  <c r="D24" i="5"/>
  <c r="D18" i="5"/>
  <c r="D22" i="5"/>
  <c r="D7" i="5"/>
  <c r="D15" i="5"/>
  <c r="D5" i="5"/>
  <c r="D20" i="5"/>
  <c r="D25" i="5"/>
  <c r="D13" i="5"/>
  <c r="D17" i="5"/>
  <c r="D6" i="5"/>
  <c r="D26" i="5"/>
  <c r="D16" i="5"/>
  <c r="D12" i="5"/>
  <c r="J16" i="5"/>
  <c r="J26" i="5"/>
  <c r="J6" i="5"/>
  <c r="J17" i="5"/>
  <c r="J13" i="5"/>
  <c r="J25" i="5"/>
  <c r="J20" i="5"/>
  <c r="J5" i="5"/>
  <c r="J15" i="5"/>
  <c r="J7" i="5"/>
  <c r="J22" i="5"/>
  <c r="J18" i="5"/>
  <c r="J24" i="5"/>
  <c r="J23" i="5"/>
  <c r="J19" i="5"/>
  <c r="J21" i="5"/>
  <c r="J14" i="5"/>
  <c r="J3" i="5"/>
  <c r="J9" i="5"/>
  <c r="J4" i="5"/>
  <c r="J8" i="5"/>
  <c r="J27" i="5"/>
  <c r="J10" i="5"/>
  <c r="J12" i="5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N20" i="3"/>
  <c r="O20" i="3" s="1"/>
  <c r="L25" i="3"/>
  <c r="N25" i="3" s="1"/>
  <c r="O25" i="3" s="1"/>
  <c r="L12" i="3"/>
  <c r="N12" i="3" s="1"/>
  <c r="O12" i="3" s="1"/>
  <c r="L18" i="3"/>
  <c r="N18" i="3" s="1"/>
  <c r="O18" i="3" s="1"/>
  <c r="L8" i="3"/>
  <c r="N8" i="3" s="1"/>
  <c r="O8" i="3" s="1"/>
  <c r="L3" i="3"/>
  <c r="N3" i="3" s="1"/>
  <c r="O3" i="3" s="1"/>
  <c r="L13" i="3"/>
  <c r="N13" i="3" s="1"/>
  <c r="O13" i="3" s="1"/>
  <c r="L23" i="3"/>
  <c r="N23" i="3" s="1"/>
  <c r="O23" i="3" s="1"/>
  <c r="L20" i="3"/>
  <c r="L10" i="3"/>
  <c r="N10" i="3" s="1"/>
  <c r="O10" i="3" s="1"/>
  <c r="L19" i="3"/>
  <c r="N19" i="3" s="1"/>
  <c r="O19" i="3" s="1"/>
  <c r="L24" i="3"/>
  <c r="N24" i="3" s="1"/>
  <c r="O24" i="3" s="1"/>
  <c r="L21" i="3"/>
  <c r="N21" i="3" s="1"/>
  <c r="O21" i="3" s="1"/>
  <c r="L22" i="3"/>
  <c r="N22" i="3" s="1"/>
  <c r="O22" i="3" s="1"/>
  <c r="L4" i="3"/>
  <c r="N4" i="3" s="1"/>
  <c r="O4" i="3" s="1"/>
  <c r="L9" i="3"/>
  <c r="N9" i="3" s="1"/>
  <c r="O9" i="3" s="1"/>
  <c r="L11" i="3"/>
  <c r="N11" i="3" s="1"/>
  <c r="O11" i="3" s="1"/>
  <c r="L16" i="3"/>
  <c r="N16" i="3" s="1"/>
  <c r="O16" i="3" s="1"/>
  <c r="L14" i="3"/>
  <c r="N14" i="3" s="1"/>
  <c r="O14" i="3" s="1"/>
  <c r="L7" i="3"/>
  <c r="N7" i="3" s="1"/>
  <c r="O7" i="3" s="1"/>
  <c r="L26" i="3"/>
  <c r="N26" i="3" s="1"/>
  <c r="O26" i="3" s="1"/>
  <c r="L17" i="3"/>
  <c r="N17" i="3" s="1"/>
  <c r="O17" i="3" s="1"/>
  <c r="L5" i="3"/>
  <c r="N5" i="3" s="1"/>
  <c r="O5" i="3" s="1"/>
  <c r="L6" i="3"/>
  <c r="N6" i="3" s="1"/>
  <c r="O6" i="3" s="1"/>
  <c r="L15" i="3"/>
  <c r="N15" i="3" s="1"/>
  <c r="O15" i="3" s="1"/>
  <c r="D4" i="3"/>
  <c r="D9" i="3"/>
  <c r="D14" i="3"/>
  <c r="D7" i="3"/>
  <c r="D26" i="3"/>
  <c r="D5" i="3"/>
  <c r="D6" i="3"/>
  <c r="D17" i="3"/>
  <c r="D16" i="3"/>
  <c r="D11" i="3"/>
  <c r="D22" i="3"/>
  <c r="D21" i="3"/>
  <c r="D24" i="3"/>
  <c r="D19" i="3"/>
  <c r="D10" i="3"/>
  <c r="D20" i="3"/>
  <c r="D23" i="3"/>
  <c r="D13" i="3"/>
  <c r="D3" i="3"/>
  <c r="D8" i="3"/>
  <c r="D18" i="3"/>
  <c r="D12" i="3"/>
  <c r="D15" i="3"/>
  <c r="D25" i="3"/>
  <c r="J3" i="3"/>
  <c r="J16" i="3"/>
  <c r="J14" i="3"/>
  <c r="J13" i="3"/>
  <c r="J12" i="3"/>
  <c r="J11" i="3"/>
  <c r="J10" i="3"/>
  <c r="J9" i="3"/>
  <c r="J8" i="3"/>
  <c r="J7" i="3"/>
  <c r="J24" i="3"/>
  <c r="J23" i="3"/>
  <c r="J22" i="3"/>
  <c r="J21" i="3"/>
  <c r="J20" i="3"/>
  <c r="J19" i="3"/>
  <c r="J18" i="3"/>
  <c r="J25" i="3"/>
  <c r="J5" i="3"/>
  <c r="J4" i="3"/>
  <c r="J26" i="3"/>
  <c r="J17" i="3"/>
  <c r="J6" i="3"/>
  <c r="J15" i="3"/>
  <c r="H3" i="1"/>
  <c r="H4" i="1"/>
  <c r="H5" i="1"/>
  <c r="H6" i="1"/>
  <c r="H7" i="1"/>
  <c r="H8" i="1"/>
  <c r="H26" i="1"/>
  <c r="H27" i="1"/>
  <c r="H9" i="1"/>
  <c r="H10" i="1"/>
  <c r="H11" i="1"/>
  <c r="H12" i="1"/>
  <c r="H13" i="1"/>
  <c r="H14" i="1"/>
  <c r="H15" i="1"/>
  <c r="H16" i="1"/>
  <c r="H28" i="1"/>
  <c r="H29" i="1"/>
  <c r="H30" i="1"/>
  <c r="H31" i="1"/>
  <c r="H17" i="1"/>
  <c r="H32" i="1"/>
  <c r="H33" i="1"/>
  <c r="H34" i="1"/>
  <c r="H18" i="1"/>
  <c r="H19" i="1"/>
  <c r="H20" i="1"/>
  <c r="H21" i="1"/>
  <c r="H35" i="1"/>
  <c r="H22" i="1"/>
  <c r="H36" i="1"/>
  <c r="H37" i="1"/>
  <c r="H23" i="1"/>
  <c r="H38" i="1"/>
  <c r="H24" i="1"/>
  <c r="H25" i="1"/>
  <c r="H2" i="1"/>
  <c r="O27" i="3" l="1"/>
</calcChain>
</file>

<file path=xl/sharedStrings.xml><?xml version="1.0" encoding="utf-8"?>
<sst xmlns="http://schemas.openxmlformats.org/spreadsheetml/2006/main" count="203" uniqueCount="98">
  <si>
    <t>Coefficient</t>
  </si>
  <si>
    <t>Std Error</t>
  </si>
  <si>
    <t>t-value</t>
  </si>
  <si>
    <t>p-value</t>
  </si>
  <si>
    <t>Lower CI</t>
  </si>
  <si>
    <t>Upper CI</t>
  </si>
  <si>
    <t>const</t>
  </si>
  <si>
    <t>Age</t>
  </si>
  <si>
    <t>NumberofClassesEnrolled</t>
  </si>
  <si>
    <t>UnitsPassednotincludedinGPA</t>
  </si>
  <si>
    <t>AcademicLevelEndofTerm</t>
  </si>
  <si>
    <t>AcademicYear</t>
  </si>
  <si>
    <t>TermGPA</t>
  </si>
  <si>
    <t>Gender_Male</t>
  </si>
  <si>
    <t>Gender_Unknown</t>
  </si>
  <si>
    <t>PrimaryMilitaryAffiliation_Child Dependent</t>
  </si>
  <si>
    <t>PrimaryMilitaryAffiliation_Guard Reserve</t>
  </si>
  <si>
    <t>PrimaryMilitaryAffiliation_No Military Affiliation</t>
  </si>
  <si>
    <t>PrimaryMilitaryAffiliation_Other Dependent</t>
  </si>
  <si>
    <t>PrimaryMilitaryAffiliation_Spouse Dependent</t>
  </si>
  <si>
    <t>PrimaryMilitaryAffiliation_Unknown Military Affiliation</t>
  </si>
  <si>
    <t>PrimaryMilitaryAffiliation_Veteran</t>
  </si>
  <si>
    <t>College_Coll of Ag Life &amp; Env Sci</t>
  </si>
  <si>
    <t>College_College of Applied Sci &amp; Tech</t>
  </si>
  <si>
    <t>College_College of Education</t>
  </si>
  <si>
    <t>College_College of Engineering</t>
  </si>
  <si>
    <t>College_College of Fine Arts</t>
  </si>
  <si>
    <t>College_College of Humanities</t>
  </si>
  <si>
    <t>College_College of Information Science</t>
  </si>
  <si>
    <t>College_College of Medicine - Phoenix</t>
  </si>
  <si>
    <t>College_College of Medicine - Tucson</t>
  </si>
  <si>
    <t>College_College of Nursing</t>
  </si>
  <si>
    <t>College_College of Science</t>
  </si>
  <si>
    <t>College_College of Social &amp; Behav Sci</t>
  </si>
  <si>
    <t>College_Colleges of Letters Arts &amp; Sci</t>
  </si>
  <si>
    <t>College_Eller College of Management</t>
  </si>
  <si>
    <t>College_Graduate College</t>
  </si>
  <si>
    <t>College_James C Wyant Coll Optical Sci</t>
  </si>
  <si>
    <t>College_R Ken Coit College of Pharmacy</t>
  </si>
  <si>
    <t>College_Undergraduate Education</t>
  </si>
  <si>
    <t>College_Zuckerman Coll Public Health</t>
  </si>
  <si>
    <t>FirstGenerationFlag_Y</t>
  </si>
  <si>
    <t>AcademicCareer_Law</t>
  </si>
  <si>
    <t>Metric</t>
  </si>
  <si>
    <t>Value</t>
  </si>
  <si>
    <t>R2</t>
  </si>
  <si>
    <t>Adjusted R2</t>
  </si>
  <si>
    <t>MAE</t>
  </si>
  <si>
    <t>MSE</t>
  </si>
  <si>
    <t>RMSE</t>
  </si>
  <si>
    <t>Does CI contain Zero)</t>
  </si>
  <si>
    <t>Absolute Coefficients</t>
  </si>
  <si>
    <t>Sr.No</t>
  </si>
  <si>
    <t>Predictor Variables.</t>
  </si>
  <si>
    <t xml:space="preserve">Coefficient Analysis </t>
  </si>
  <si>
    <t xml:space="preserve">CumulativeGPA = -8.4219 + 0.0009 * Age - 0.0119 * NumberofClassesEnrolled + 0.0298 * UnitsPassednotincludedinGPA + 0.0715 * AcademicLevelEndofTerm + 0.0047 * AcademicYear + 0.6672 * TermGPA - 0.0015 * Gender_Male + 0.0278 * Gender_Unknown - 0.1854 * PrimaryMilitaryAffiliation_Child Dependent - 0.1182 * PrimaryMilitaryAffiliation_Guard Reserve - 0.1227 * PrimaryMilitaryAffiliation_No Military Affiliation - 0.0756 * PrimaryMilitaryAffiliation_Other Dependent - 0.0737 * PrimaryMilitaryAffiliation_Spouse Dependent - 0.1333 * PrimaryMilitaryAffiliation_Unknown Military Affiliation - 0.1094 * PrimaryMilitaryAffiliation_Veteran + 0.0387 * College_Coll of Ag Life &amp; Env Sci + 0.0145 * College_College of Applied Sci &amp; Tech + 0.0197 * College_College of Education + 0.0077 * College_College of Engineering + 0.0132 * College_College of Fine Arts - 0.1704 * College_College of Humanities - 0.0009 * College_College of Information Science + 0.0241 * College_College of Medicine - Phoenix + 0.0378 * College_College of Medicine - Tucson + 0.0580 * College_College of Nursing - 0.1204 * College_College of Science - 0.0523 * College_College of Social &amp; Behav Sci - 0.4125 * College_Colleges of Letters Arts &amp; Sci - 0.0286 * College_Eller College of Management - 0.1338 * College_Graduate College + 0.0053 * College_James C Wyant Coll Optical Sci - 0.1698 * College_R Ken Coit College of Pharmacy + 0.0410 * College_Undergraduate Education - 0.0131 * College_Zuckerman Coll Public Health - 0.0422 * FirstGenerationFlag_Y - 0.1540 * AcademicCareer_Law </t>
  </si>
  <si>
    <t>Equation predicting GPA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</si>
  <si>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</si>
  <si>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</si>
  <si>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</si>
  <si>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</si>
  <si>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</si>
  <si>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</si>
  <si>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</si>
  <si>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</si>
  <si>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</si>
  <si>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</si>
  <si>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</si>
  <si>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</si>
  <si>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</si>
  <si>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</si>
  <si>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</si>
  <si>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</si>
  <si>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</si>
  <si>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</si>
  <si>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</si>
  <si>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</si>
  <si>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</si>
  <si>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</si>
  <si>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</si>
  <si>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X1=1</t>
  </si>
  <si>
    <t>Predictor</t>
  </si>
  <si>
    <t>Product</t>
  </si>
  <si>
    <t>Predicted GPA</t>
  </si>
  <si>
    <t>Academic Year</t>
  </si>
  <si>
    <t>"AcademicLevelEndofTerm"</t>
  </si>
  <si>
    <r>
      <t>Freshman"</t>
    </r>
    <r>
      <rPr>
        <sz val="8"/>
        <color rgb="FF000000"/>
        <rFont val="Courier New"/>
        <family val="3"/>
      </rPr>
      <t xml:space="preserve">: </t>
    </r>
    <r>
      <rPr>
        <sz val="8"/>
        <color rgb="FF116644"/>
        <rFont val="Courier New"/>
        <family val="3"/>
      </rPr>
      <t>1</t>
    </r>
    <r>
      <rPr>
        <sz val="8"/>
        <color rgb="FF000000"/>
        <rFont val="Courier New"/>
        <family val="3"/>
      </rPr>
      <t xml:space="preserve">, </t>
    </r>
    <r>
      <rPr>
        <sz val="8"/>
        <color rgb="FFA31515"/>
        <rFont val="Courier New"/>
        <family val="3"/>
      </rPr>
      <t>"Sophomore"</t>
    </r>
    <r>
      <rPr>
        <sz val="8"/>
        <color rgb="FF000000"/>
        <rFont val="Courier New"/>
        <family val="3"/>
      </rPr>
      <t xml:space="preserve">: </t>
    </r>
    <r>
      <rPr>
        <sz val="8"/>
        <color rgb="FF116644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A31515"/>
        <rFont val="Courier New"/>
        <family val="3"/>
      </rPr>
      <t>"Junior"</t>
    </r>
    <r>
      <rPr>
        <sz val="8"/>
        <color rgb="FF000000"/>
        <rFont val="Courier New"/>
        <family val="3"/>
      </rPr>
      <t>:</t>
    </r>
    <r>
      <rPr>
        <sz val="8"/>
        <color rgb="FF116644"/>
        <rFont val="Courier New"/>
        <family val="3"/>
      </rPr>
      <t>3</t>
    </r>
    <r>
      <rPr>
        <sz val="8"/>
        <color rgb="FF000000"/>
        <rFont val="Courier New"/>
        <family val="3"/>
      </rPr>
      <t>,</t>
    </r>
    <r>
      <rPr>
        <sz val="8"/>
        <color rgb="FFA31515"/>
        <rFont val="Courier New"/>
        <family val="3"/>
      </rPr>
      <t>"Senior"</t>
    </r>
    <r>
      <rPr>
        <sz val="8"/>
        <color rgb="FF000000"/>
        <rFont val="Courier New"/>
        <family val="3"/>
      </rPr>
      <t>:</t>
    </r>
    <r>
      <rPr>
        <sz val="8"/>
        <color rgb="FF116644"/>
        <rFont val="Courier New"/>
        <family val="3"/>
      </rPr>
      <t>4</t>
    </r>
    <r>
      <rPr>
        <sz val="8"/>
        <color rgb="FF000000"/>
        <rFont val="Courier New"/>
        <family val="3"/>
      </rPr>
      <t xml:space="preserve"> ,</t>
    </r>
    <r>
      <rPr>
        <sz val="8"/>
        <color rgb="FFA31515"/>
        <rFont val="Courier New"/>
        <family val="3"/>
      </rPr>
      <t>"Graduate"</t>
    </r>
    <r>
      <rPr>
        <sz val="8"/>
        <color rgb="FF000000"/>
        <rFont val="Courier New"/>
        <family val="3"/>
      </rPr>
      <t>:</t>
    </r>
    <r>
      <rPr>
        <sz val="8"/>
        <color rgb="FF116644"/>
        <rFont val="Courier New"/>
        <family val="3"/>
      </rPr>
      <t>5</t>
    </r>
    <r>
      <rPr>
        <sz val="8"/>
        <color rgb="FF000000"/>
        <rFont val="Courier New"/>
        <family val="3"/>
      </rPr>
      <t xml:space="preserve"> ,</t>
    </r>
    <r>
      <rPr>
        <sz val="8"/>
        <color rgb="FFA31515"/>
        <rFont val="Courier New"/>
        <family val="3"/>
      </rPr>
      <t>"Masters"</t>
    </r>
    <r>
      <rPr>
        <sz val="8"/>
        <color rgb="FF000000"/>
        <rFont val="Courier New"/>
        <family val="3"/>
      </rPr>
      <t>:</t>
    </r>
    <r>
      <rPr>
        <sz val="8"/>
        <color rgb="FF116644"/>
        <rFont val="Courier New"/>
        <family val="3"/>
      </rPr>
      <t>6</t>
    </r>
    <r>
      <rPr>
        <sz val="8"/>
        <color rgb="FF000000"/>
        <rFont val="Courier New"/>
        <family val="3"/>
      </rPr>
      <t xml:space="preserve"> </t>
    </r>
  </si>
  <si>
    <t>Freshman'</t>
  </si>
  <si>
    <t>Sophomore</t>
  </si>
  <si>
    <t>Junior</t>
  </si>
  <si>
    <t>Senior</t>
  </si>
  <si>
    <t>Graduate</t>
  </si>
  <si>
    <t>Master</t>
  </si>
  <si>
    <t>0,1</t>
  </si>
  <si>
    <t>Does CI contain Zero</t>
  </si>
  <si>
    <t>Absolute Value of Coeff</t>
  </si>
  <si>
    <t>Predictor Variable</t>
  </si>
  <si>
    <t>OLS Regression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</si>
</sst>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1F1F1F"/>
      <name val="Courier New"/>
      <family val="3"/>
    </font>
    <font>
      <sz val="8"/>
      <name val="Calibri"/>
      <family val="2"/>
      <scheme val="minor"/>
    </font>
    <font>
      <sz val="8"/>
      <color rgb="FF000000"/>
      <name val="Courier New"/>
      <family val="3"/>
    </font>
    <font>
      <sz val="8"/>
      <color rgb="FFA31515"/>
      <name val="Courier New"/>
      <family val="3"/>
    </font>
    <font>
      <sz val="8"/>
      <color rgb="FF116644"/>
      <name val="Courier New"/>
      <family val="3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left" vertical="top"/>
    </xf>
    <xf numFmtId="0" fontId="8" fillId="0" borderId="0" xfId="0" applyFont="1" applyAlignment="1">
      <alignment vertical="center"/>
    </xf>
    <xf numFmtId="0" fontId="1" fillId="4" borderId="1" xfId="0" applyFont="1" applyFill="1" applyBorder="1" applyAlignment="1">
      <alignment horizontal="left" vertical="top"/>
    </xf>
    <xf numFmtId="0" fontId="11" fillId="0" borderId="3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1" fillId="0" borderId="1" xfId="0" applyFont="1" applyBorder="1"/>
    <xf numFmtId="0" fontId="0" fillId="2" borderId="1" xfId="0" applyFill="1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sqref="A1:H25"/>
    </sheetView>
  </sheetViews>
  <sheetFormatPr defaultRowHeight="14.4" x14ac:dyDescent="0.3"/>
  <cols>
    <col min="1" max="1" width="35.44140625" customWidth="1"/>
    <col min="2" max="2" width="14.5546875" bestFit="1" customWidth="1"/>
    <col min="3" max="3" width="12.7773437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.77734375" bestFit="1" customWidth="1"/>
    <col min="8" max="8" width="13" customWidth="1"/>
  </cols>
  <sheetData>
    <row r="1" spans="1:8" ht="28.8" x14ac:dyDescent="0.3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50</v>
      </c>
    </row>
    <row r="2" spans="1:8" x14ac:dyDescent="0.3">
      <c r="A2" s="1" t="s">
        <v>6</v>
      </c>
      <c r="B2" s="5">
        <v>-8.4219201680249132</v>
      </c>
      <c r="C2" s="5">
        <v>2.506263634153723</v>
      </c>
      <c r="D2" s="5">
        <v>-3.3603488688326668</v>
      </c>
      <c r="E2" s="5">
        <v>7.7890040342883191E-4</v>
      </c>
      <c r="F2" s="5">
        <v>-13.334200464401089</v>
      </c>
      <c r="G2" s="5">
        <v>-3.509639871648742</v>
      </c>
      <c r="H2" s="5" t="b">
        <f>AND(F2&lt;0,G2&gt;0)</f>
        <v>0</v>
      </c>
    </row>
    <row r="3" spans="1:8" x14ac:dyDescent="0.3">
      <c r="A3" s="1" t="s">
        <v>7</v>
      </c>
      <c r="B3" s="5">
        <v>9.2842976128919589E-4</v>
      </c>
      <c r="C3" s="5">
        <v>2.388206266317753E-4</v>
      </c>
      <c r="D3" s="5">
        <v>3.8875610301479191</v>
      </c>
      <c r="E3" s="5">
        <v>1.013596418739731E-4</v>
      </c>
      <c r="F3" s="5">
        <v>4.6034099258006811E-4</v>
      </c>
      <c r="G3" s="5">
        <v>1.3965185299983239E-3</v>
      </c>
      <c r="H3" s="5" t="b">
        <f>AND(F3&lt;0,G3&gt;0)</f>
        <v>0</v>
      </c>
    </row>
    <row r="4" spans="1:8" x14ac:dyDescent="0.3">
      <c r="A4" s="1" t="s">
        <v>8</v>
      </c>
      <c r="B4" s="5">
        <v>-1.1938809355201691E-2</v>
      </c>
      <c r="C4" s="5">
        <v>1.5554939298760969E-3</v>
      </c>
      <c r="D4" s="5">
        <v>-7.6752529379222221</v>
      </c>
      <c r="E4" s="5">
        <v>1.67444454468702E-14</v>
      </c>
      <c r="F4" s="5">
        <v>-1.498757967558469E-2</v>
      </c>
      <c r="G4" s="5">
        <v>-8.8900390348187024E-3</v>
      </c>
      <c r="H4" s="5" t="b">
        <f>AND(F4&lt;0,G4&gt;0)</f>
        <v>0</v>
      </c>
    </row>
    <row r="5" spans="1:8" x14ac:dyDescent="0.3">
      <c r="A5" s="1" t="s">
        <v>9</v>
      </c>
      <c r="B5" s="5">
        <v>2.9836539754744009E-2</v>
      </c>
      <c r="C5" s="5">
        <v>2.9655753281241648E-3</v>
      </c>
      <c r="D5" s="5">
        <v>10.06096168651926</v>
      </c>
      <c r="E5" s="5">
        <v>8.5646706933695157E-24</v>
      </c>
      <c r="F5" s="5">
        <v>2.40240078832984E-2</v>
      </c>
      <c r="G5" s="5">
        <v>3.5649071626189632E-2</v>
      </c>
      <c r="H5" s="5" t="b">
        <f>AND(F5&lt;0,G5&gt;0)</f>
        <v>0</v>
      </c>
    </row>
    <row r="6" spans="1:8" x14ac:dyDescent="0.3">
      <c r="A6" s="1" t="s">
        <v>10</v>
      </c>
      <c r="B6" s="5">
        <v>7.1543898368588016E-2</v>
      </c>
      <c r="C6" s="5">
        <v>1.9645199718543531E-3</v>
      </c>
      <c r="D6" s="5">
        <v>36.418005107403502</v>
      </c>
      <c r="E6" s="5">
        <v>2.096218544831759E-287</v>
      </c>
      <c r="F6" s="5">
        <v>6.7693436422737632E-2</v>
      </c>
      <c r="G6" s="5">
        <v>7.5394360314438399E-2</v>
      </c>
      <c r="H6" s="5" t="b">
        <f>AND(F6&lt;0,G6&gt;0)</f>
        <v>0</v>
      </c>
    </row>
    <row r="7" spans="1:8" x14ac:dyDescent="0.3">
      <c r="A7" s="1" t="s">
        <v>11</v>
      </c>
      <c r="B7" s="5">
        <v>4.6658817755808896E-3</v>
      </c>
      <c r="C7" s="5">
        <v>1.2387137160821079E-3</v>
      </c>
      <c r="D7" s="5">
        <v>3.7667151941600139</v>
      </c>
      <c r="E7" s="5">
        <v>1.6555904813787511E-4</v>
      </c>
      <c r="F7" s="5">
        <v>2.2380011258998742E-3</v>
      </c>
      <c r="G7" s="5">
        <v>7.0937624252619064E-3</v>
      </c>
      <c r="H7" s="5" t="b">
        <f>AND(F7&lt;0,G7&gt;0)</f>
        <v>0</v>
      </c>
    </row>
    <row r="8" spans="1:8" x14ac:dyDescent="0.3">
      <c r="A8" s="1" t="s">
        <v>12</v>
      </c>
      <c r="B8" s="5">
        <v>0.66724042879836931</v>
      </c>
      <c r="C8" s="5">
        <v>1.9488721064494609E-3</v>
      </c>
      <c r="D8" s="5">
        <v>342.37260956747792</v>
      </c>
      <c r="E8" s="5">
        <v>0</v>
      </c>
      <c r="F8" s="5">
        <v>0.66342063669102325</v>
      </c>
      <c r="G8" s="5">
        <v>0.67106022090571538</v>
      </c>
      <c r="H8" s="5" t="b">
        <f>AND(F8&lt;0,G8&gt;0)</f>
        <v>0</v>
      </c>
    </row>
    <row r="9" spans="1:8" x14ac:dyDescent="0.3">
      <c r="A9" s="1" t="s">
        <v>15</v>
      </c>
      <c r="B9" s="5">
        <v>-0.1853526101930846</v>
      </c>
      <c r="C9" s="5">
        <v>2.002373354264721E-2</v>
      </c>
      <c r="D9" s="5">
        <v>-9.2566458596901757</v>
      </c>
      <c r="E9" s="5">
        <v>2.1729576322683729E-20</v>
      </c>
      <c r="F9" s="5">
        <v>-0.22459915648654591</v>
      </c>
      <c r="G9" s="5">
        <v>-0.14610606389962341</v>
      </c>
      <c r="H9" s="5" t="b">
        <f>AND(F9&lt;0,G9&gt;0)</f>
        <v>0</v>
      </c>
    </row>
    <row r="10" spans="1:8" x14ac:dyDescent="0.3">
      <c r="A10" s="1" t="s">
        <v>16</v>
      </c>
      <c r="B10" s="5">
        <v>-0.118184362086751</v>
      </c>
      <c r="C10" s="5">
        <v>2.240570692599329E-2</v>
      </c>
      <c r="D10" s="5">
        <v>-5.2747437283330267</v>
      </c>
      <c r="E10" s="5">
        <v>1.333771533346724E-7</v>
      </c>
      <c r="F10" s="5">
        <v>-0.16209957960779209</v>
      </c>
      <c r="G10" s="5">
        <v>-7.4269144565709766E-2</v>
      </c>
      <c r="H10" s="5" t="b">
        <f>AND(F10&lt;0,G10&gt;0)</f>
        <v>0</v>
      </c>
    </row>
    <row r="11" spans="1:8" x14ac:dyDescent="0.3">
      <c r="A11" s="1" t="s">
        <v>17</v>
      </c>
      <c r="B11" s="5">
        <v>-0.12270002789456171</v>
      </c>
      <c r="C11" s="5">
        <v>8.7269351158987384E-3</v>
      </c>
      <c r="D11" s="5">
        <v>-14.059922099228929</v>
      </c>
      <c r="E11" s="5">
        <v>7.821919720338315E-45</v>
      </c>
      <c r="F11" s="5">
        <v>-0.13980483316460179</v>
      </c>
      <c r="G11" s="5">
        <v>-0.10559522262452151</v>
      </c>
      <c r="H11" s="5" t="b">
        <f>AND(F11&lt;0,G11&gt;0)</f>
        <v>0</v>
      </c>
    </row>
    <row r="12" spans="1:8" x14ac:dyDescent="0.3">
      <c r="A12" s="1" t="s">
        <v>18</v>
      </c>
      <c r="B12" s="5">
        <v>-7.5596089229987951E-2</v>
      </c>
      <c r="C12" s="5">
        <v>1.111172956856228E-2</v>
      </c>
      <c r="D12" s="5">
        <v>-6.8032693527628014</v>
      </c>
      <c r="E12" s="5">
        <v>1.0317618323767409E-11</v>
      </c>
      <c r="F12" s="5">
        <v>-9.7375095027492586E-2</v>
      </c>
      <c r="G12" s="5">
        <v>-5.3817083432483308E-2</v>
      </c>
      <c r="H12" s="5" t="b">
        <f>AND(F12&lt;0,G12&gt;0)</f>
        <v>0</v>
      </c>
    </row>
    <row r="13" spans="1:8" x14ac:dyDescent="0.3">
      <c r="A13" s="1" t="s">
        <v>19</v>
      </c>
      <c r="B13" s="5">
        <v>-7.3651256357823255E-2</v>
      </c>
      <c r="C13" s="5">
        <v>2.2625221506378069E-2</v>
      </c>
      <c r="D13" s="5">
        <v>-3.2552722781989512</v>
      </c>
      <c r="E13" s="5">
        <v>1.133431304611951E-3</v>
      </c>
      <c r="F13" s="5">
        <v>-0.1179967227694029</v>
      </c>
      <c r="G13" s="5">
        <v>-2.9305789946243641E-2</v>
      </c>
      <c r="H13" s="5" t="b">
        <f>AND(F13&lt;0,G13&gt;0)</f>
        <v>0</v>
      </c>
    </row>
    <row r="14" spans="1:8" x14ac:dyDescent="0.3">
      <c r="A14" s="1" t="s">
        <v>20</v>
      </c>
      <c r="B14" s="5">
        <v>-0.1333396883631244</v>
      </c>
      <c r="C14" s="5">
        <v>4.6395985398517602E-2</v>
      </c>
      <c r="D14" s="5">
        <v>-2.8739488388446799</v>
      </c>
      <c r="E14" s="5">
        <v>4.055094014096104E-3</v>
      </c>
      <c r="F14" s="5">
        <v>-0.22427588589569239</v>
      </c>
      <c r="G14" s="5">
        <v>-4.2403490830556459E-2</v>
      </c>
      <c r="H14" s="5" t="b">
        <f>AND(F14&lt;0,G14&gt;0)</f>
        <v>0</v>
      </c>
    </row>
    <row r="15" spans="1:8" x14ac:dyDescent="0.3">
      <c r="A15" s="1" t="s">
        <v>21</v>
      </c>
      <c r="B15" s="5">
        <v>-0.10940313038536829</v>
      </c>
      <c r="C15" s="5">
        <v>1.1264459964695999E-2</v>
      </c>
      <c r="D15" s="5">
        <v>-9.7122392665293482</v>
      </c>
      <c r="E15" s="5">
        <v>2.7714661972169622E-22</v>
      </c>
      <c r="F15" s="5">
        <v>-0.13148148797705819</v>
      </c>
      <c r="G15" s="5">
        <v>-8.7324772793678271E-2</v>
      </c>
      <c r="H15" s="5" t="b">
        <f>AND(F15&lt;0,G15&gt;0)</f>
        <v>0</v>
      </c>
    </row>
    <row r="16" spans="1:8" x14ac:dyDescent="0.3">
      <c r="A16" s="1" t="s">
        <v>22</v>
      </c>
      <c r="B16" s="5">
        <v>3.8692610268414633E-2</v>
      </c>
      <c r="C16" s="5">
        <v>1.7827674022685751E-2</v>
      </c>
      <c r="D16" s="5">
        <v>2.1703678348155901</v>
      </c>
      <c r="E16" s="5">
        <v>2.9982693169831182E-2</v>
      </c>
      <c r="F16" s="5">
        <v>3.7503437652231589E-3</v>
      </c>
      <c r="G16" s="5">
        <v>7.36348767716061E-2</v>
      </c>
      <c r="H16" s="5" t="b">
        <f>AND(F16&lt;0,G16&gt;0)</f>
        <v>0</v>
      </c>
    </row>
    <row r="17" spans="1:8" x14ac:dyDescent="0.3">
      <c r="A17" s="1" t="s">
        <v>27</v>
      </c>
      <c r="B17" s="5">
        <v>-0.17040149109073749</v>
      </c>
      <c r="C17" s="5">
        <v>1.8379216206868668E-2</v>
      </c>
      <c r="D17" s="5">
        <v>-9.2714231756550731</v>
      </c>
      <c r="E17" s="5">
        <v>1.8923491991101929E-20</v>
      </c>
      <c r="F17" s="5">
        <v>-0.20642478106131729</v>
      </c>
      <c r="G17" s="5">
        <v>-0.1343782011201578</v>
      </c>
      <c r="H17" s="5" t="b">
        <f>AND(F17&lt;0,G17&gt;0)</f>
        <v>0</v>
      </c>
    </row>
    <row r="18" spans="1:8" x14ac:dyDescent="0.3">
      <c r="A18" s="1" t="s">
        <v>31</v>
      </c>
      <c r="B18" s="5">
        <v>5.7974951535824798E-2</v>
      </c>
      <c r="C18" s="5">
        <v>1.854496042767477E-2</v>
      </c>
      <c r="D18" s="5">
        <v>3.1261836207160831</v>
      </c>
      <c r="E18" s="5">
        <v>1.7717097508305299E-3</v>
      </c>
      <c r="F18" s="5">
        <v>2.162680265614671E-2</v>
      </c>
      <c r="G18" s="5">
        <v>9.4323100415502903E-2</v>
      </c>
      <c r="H18" s="5" t="b">
        <f>AND(F18&lt;0,G18&gt;0)</f>
        <v>0</v>
      </c>
    </row>
    <row r="19" spans="1:8" x14ac:dyDescent="0.3">
      <c r="A19" s="1" t="s">
        <v>32</v>
      </c>
      <c r="B19" s="5">
        <v>-0.1203597854412575</v>
      </c>
      <c r="C19" s="5">
        <v>1.753714366409128E-2</v>
      </c>
      <c r="D19" s="5">
        <v>-6.8631350547526093</v>
      </c>
      <c r="E19" s="5">
        <v>6.7982521332848819E-12</v>
      </c>
      <c r="F19" s="5">
        <v>-0.15473261202736521</v>
      </c>
      <c r="G19" s="5">
        <v>-8.5986958855149884E-2</v>
      </c>
      <c r="H19" s="5" t="b">
        <f>AND(F19&lt;0,G19&gt;0)</f>
        <v>0</v>
      </c>
    </row>
    <row r="20" spans="1:8" x14ac:dyDescent="0.3">
      <c r="A20" s="1" t="s">
        <v>33</v>
      </c>
      <c r="B20" s="5">
        <v>-5.2348839430357043E-2</v>
      </c>
      <c r="C20" s="5">
        <v>1.688247442704207E-2</v>
      </c>
      <c r="D20" s="5">
        <v>-3.1007800222996651</v>
      </c>
      <c r="E20" s="5">
        <v>1.9309627646795671E-3</v>
      </c>
      <c r="F20" s="5">
        <v>-8.5438513378419734E-2</v>
      </c>
      <c r="G20" s="5">
        <v>-1.9259165482294349E-2</v>
      </c>
      <c r="H20" s="5" t="b">
        <f>AND(F20&lt;0,G20&gt;0)</f>
        <v>0</v>
      </c>
    </row>
    <row r="21" spans="1:8" x14ac:dyDescent="0.3">
      <c r="A21" s="1" t="s">
        <v>34</v>
      </c>
      <c r="B21" s="5">
        <v>-0.41249482019829092</v>
      </c>
      <c r="C21" s="5">
        <v>3.2691931792497513E-2</v>
      </c>
      <c r="D21" s="5">
        <v>-12.61763369679349</v>
      </c>
      <c r="E21" s="5">
        <v>1.8677634693524371E-36</v>
      </c>
      <c r="F21" s="5">
        <v>-0.47657105312379688</v>
      </c>
      <c r="G21" s="5">
        <v>-0.34841858727278491</v>
      </c>
      <c r="H21" s="5" t="b">
        <f>AND(F21&lt;0,G21&gt;0)</f>
        <v>0</v>
      </c>
    </row>
    <row r="22" spans="1:8" x14ac:dyDescent="0.3">
      <c r="A22" s="1" t="s">
        <v>36</v>
      </c>
      <c r="B22" s="5">
        <v>-0.1338380025973151</v>
      </c>
      <c r="C22" s="5">
        <v>2.317982715492712E-2</v>
      </c>
      <c r="D22" s="5">
        <v>-5.7738999390625914</v>
      </c>
      <c r="E22" s="5">
        <v>7.7817959366389752E-9</v>
      </c>
      <c r="F22" s="5">
        <v>-0.17927049687080851</v>
      </c>
      <c r="G22" s="5">
        <v>-8.8405508323821658E-2</v>
      </c>
      <c r="H22" s="5" t="b">
        <f>AND(F22&lt;0,G22&gt;0)</f>
        <v>0</v>
      </c>
    </row>
    <row r="23" spans="1:8" x14ac:dyDescent="0.3">
      <c r="A23" s="1" t="s">
        <v>39</v>
      </c>
      <c r="B23" s="5">
        <v>4.0959532674197489E-2</v>
      </c>
      <c r="C23" s="5">
        <v>1.9095742747761189E-2</v>
      </c>
      <c r="D23" s="5">
        <v>2.1449562457579532</v>
      </c>
      <c r="E23" s="5">
        <v>3.1960135804235568E-2</v>
      </c>
      <c r="F23" s="5">
        <v>3.5318496618436741E-3</v>
      </c>
      <c r="G23" s="5">
        <v>7.8387215686551298E-2</v>
      </c>
      <c r="H23" s="5" t="b">
        <f>AND(F23&lt;0,G23&gt;0)</f>
        <v>0</v>
      </c>
    </row>
    <row r="24" spans="1:8" x14ac:dyDescent="0.3">
      <c r="A24" s="1" t="s">
        <v>41</v>
      </c>
      <c r="B24" s="5">
        <v>-4.2242094335771557E-2</v>
      </c>
      <c r="C24" s="5">
        <v>4.5062990780431146E-3</v>
      </c>
      <c r="D24" s="5">
        <v>-9.3740103806237869</v>
      </c>
      <c r="E24" s="5">
        <v>7.2035468962168358E-21</v>
      </c>
      <c r="F24" s="5">
        <v>-5.1074446953824813E-2</v>
      </c>
      <c r="G24" s="5">
        <v>-3.3409741717718301E-2</v>
      </c>
      <c r="H24" s="5" t="b">
        <f>AND(F24&lt;0,G24&gt;0)</f>
        <v>0</v>
      </c>
    </row>
    <row r="25" spans="1:8" x14ac:dyDescent="0.3">
      <c r="A25" s="1" t="s">
        <v>42</v>
      </c>
      <c r="B25" s="5">
        <v>-0.1539570227504205</v>
      </c>
      <c r="C25" s="5">
        <v>1.9660482678032221E-2</v>
      </c>
      <c r="D25" s="5">
        <v>-7.8307855036766423</v>
      </c>
      <c r="E25" s="5">
        <v>4.9230980747177576E-15</v>
      </c>
      <c r="F25" s="5">
        <v>-0.1924915968313127</v>
      </c>
      <c r="G25" s="5">
        <v>-0.1154224486695283</v>
      </c>
      <c r="H25" s="5" t="b">
        <f>AND(F25&lt;0,G25&gt;0)</f>
        <v>0</v>
      </c>
    </row>
    <row r="26" spans="1:8" s="3" customFormat="1" x14ac:dyDescent="0.3">
      <c r="A26" s="4" t="s">
        <v>13</v>
      </c>
      <c r="B26" s="3">
        <v>-1.5151029071136541E-3</v>
      </c>
      <c r="C26" s="3">
        <v>4.4251364701546119E-3</v>
      </c>
      <c r="D26" s="3">
        <v>-0.34238557778551792</v>
      </c>
      <c r="E26" s="3">
        <v>0.73206187631792596</v>
      </c>
      <c r="F26" s="3">
        <v>-1.0188376697983659E-2</v>
      </c>
      <c r="G26" s="3">
        <v>7.158170883756353E-3</v>
      </c>
      <c r="H26" s="3" t="b">
        <f>AND(F26&lt;0,G26&gt;0)</f>
        <v>1</v>
      </c>
    </row>
    <row r="27" spans="1:8" s="3" customFormat="1" x14ac:dyDescent="0.3">
      <c r="A27" s="2" t="s">
        <v>14</v>
      </c>
      <c r="B27" s="3">
        <v>2.7755496729618061E-2</v>
      </c>
      <c r="C27" s="3">
        <v>4.2579690374457288E-2</v>
      </c>
      <c r="D27" s="3">
        <v>0.65184825172585159</v>
      </c>
      <c r="E27" s="3">
        <v>0.51450143510426261</v>
      </c>
      <c r="F27" s="3">
        <v>-5.5700757114511869E-2</v>
      </c>
      <c r="G27" s="3">
        <v>0.11121175057374801</v>
      </c>
      <c r="H27" s="3" t="b">
        <f>AND(F27&lt;0,G27&gt;0)</f>
        <v>1</v>
      </c>
    </row>
    <row r="28" spans="1:8" s="3" customFormat="1" x14ac:dyDescent="0.3">
      <c r="A28" s="2" t="s">
        <v>23</v>
      </c>
      <c r="B28" s="3">
        <v>1.451037404669046E-2</v>
      </c>
      <c r="C28" s="3">
        <v>4.5497745332226808E-2</v>
      </c>
      <c r="D28" s="3">
        <v>0.3189251234480957</v>
      </c>
      <c r="E28" s="3">
        <v>0.74978434389825388</v>
      </c>
      <c r="F28" s="3">
        <v>-7.4665271675235345E-2</v>
      </c>
      <c r="G28" s="3">
        <v>0.1036860197686163</v>
      </c>
      <c r="H28" s="3" t="b">
        <f>AND(F28&lt;0,G28&gt;0)</f>
        <v>1</v>
      </c>
    </row>
    <row r="29" spans="1:8" s="3" customFormat="1" x14ac:dyDescent="0.3">
      <c r="A29" s="2" t="s">
        <v>24</v>
      </c>
      <c r="B29" s="3">
        <v>1.9735688362992752E-2</v>
      </c>
      <c r="C29" s="3">
        <v>2.0816143541761749E-2</v>
      </c>
      <c r="D29" s="3">
        <v>0.9480953243524014</v>
      </c>
      <c r="E29" s="3">
        <v>0.34308454424638157</v>
      </c>
      <c r="F29" s="3">
        <v>-2.1063982658552489E-2</v>
      </c>
      <c r="G29" s="3">
        <v>6.0535359384537989E-2</v>
      </c>
      <c r="H29" s="3" t="b">
        <f>AND(F29&lt;0,G29&gt;0)</f>
        <v>1</v>
      </c>
    </row>
    <row r="30" spans="1:8" s="3" customFormat="1" x14ac:dyDescent="0.3">
      <c r="A30" s="2" t="s">
        <v>25</v>
      </c>
      <c r="B30" s="3">
        <v>7.7088773494773796E-3</v>
      </c>
      <c r="C30" s="3">
        <v>1.8311387462192161E-2</v>
      </c>
      <c r="D30" s="3">
        <v>0.42098816189619898</v>
      </c>
      <c r="E30" s="3">
        <v>0.67376515420096039</v>
      </c>
      <c r="F30" s="3">
        <v>-2.8181468184826069E-2</v>
      </c>
      <c r="G30" s="3">
        <v>4.3599222883780833E-2</v>
      </c>
      <c r="H30" s="3" t="b">
        <f>AND(F30&lt;0,G30&gt;0)</f>
        <v>1</v>
      </c>
    </row>
    <row r="31" spans="1:8" s="3" customFormat="1" x14ac:dyDescent="0.3">
      <c r="A31" s="2" t="s">
        <v>26</v>
      </c>
      <c r="B31" s="3">
        <v>1.3241150578502409E-2</v>
      </c>
      <c r="C31" s="3">
        <v>3.0337906907796159E-2</v>
      </c>
      <c r="D31" s="3">
        <v>0.43645564009228782</v>
      </c>
      <c r="E31" s="3">
        <v>0.66250766456103438</v>
      </c>
      <c r="F31" s="3">
        <v>-4.622119021661638E-2</v>
      </c>
      <c r="G31" s="3">
        <v>7.2703491373621199E-2</v>
      </c>
      <c r="H31" s="3" t="b">
        <f>AND(F31&lt;0,G31&gt;0)</f>
        <v>1</v>
      </c>
    </row>
    <row r="32" spans="1:8" s="3" customFormat="1" x14ac:dyDescent="0.3">
      <c r="A32" s="2" t="s">
        <v>28</v>
      </c>
      <c r="B32" s="3">
        <v>-8.6275004656154283E-4</v>
      </c>
      <c r="C32" s="3">
        <v>1.6640319041006171E-2</v>
      </c>
      <c r="D32" s="3">
        <v>-5.1846965459946853E-2</v>
      </c>
      <c r="E32" s="3">
        <v>0.95865079626563199</v>
      </c>
      <c r="F32" s="3">
        <v>-3.3477799092728307E-2</v>
      </c>
      <c r="G32" s="3">
        <v>3.1752298999605223E-2</v>
      </c>
      <c r="H32" s="3" t="b">
        <f>AND(F32&lt;0,G32&gt;0)</f>
        <v>1</v>
      </c>
    </row>
    <row r="33" spans="1:8" s="3" customFormat="1" x14ac:dyDescent="0.3">
      <c r="A33" s="2" t="s">
        <v>29</v>
      </c>
      <c r="B33" s="3">
        <v>2.4051360943937859E-2</v>
      </c>
      <c r="C33" s="3">
        <v>0.35520458489837758</v>
      </c>
      <c r="D33" s="3">
        <v>6.7711290806729996E-2</v>
      </c>
      <c r="E33" s="3">
        <v>0.94601567483050431</v>
      </c>
      <c r="F33" s="3">
        <v>-0.67215013190817241</v>
      </c>
      <c r="G33" s="3">
        <v>0.7202528537960482</v>
      </c>
      <c r="H33" s="3" t="b">
        <f>AND(F33&lt;0,G33&gt;0)</f>
        <v>1</v>
      </c>
    </row>
    <row r="34" spans="1:8" s="3" customFormat="1" x14ac:dyDescent="0.3">
      <c r="A34" s="2" t="s">
        <v>30</v>
      </c>
      <c r="B34" s="3">
        <v>3.7763220884948212E-2</v>
      </c>
      <c r="C34" s="3">
        <v>3.3053050993495127E-2</v>
      </c>
      <c r="D34" s="3">
        <v>1.1425033317614171</v>
      </c>
      <c r="E34" s="3">
        <v>0.25324917909862799</v>
      </c>
      <c r="F34" s="3">
        <v>-2.7020806189397541E-2</v>
      </c>
      <c r="G34" s="3">
        <v>0.102547247959294</v>
      </c>
      <c r="H34" s="3" t="b">
        <f>AND(F34&lt;0,G34&gt;0)</f>
        <v>1</v>
      </c>
    </row>
    <row r="35" spans="1:8" s="3" customFormat="1" x14ac:dyDescent="0.3">
      <c r="A35" s="2" t="s">
        <v>35</v>
      </c>
      <c r="B35" s="3">
        <v>-2.864432243266363E-2</v>
      </c>
      <c r="C35" s="3">
        <v>1.6550154888544909E-2</v>
      </c>
      <c r="D35" s="3">
        <v>-1.730758571479571</v>
      </c>
      <c r="E35" s="3">
        <v>8.3499702306503262E-2</v>
      </c>
      <c r="F35" s="3">
        <v>-6.1082649611450122E-2</v>
      </c>
      <c r="G35" s="3">
        <v>3.794004746122868E-3</v>
      </c>
      <c r="H35" s="3" t="b">
        <f>AND(F35&lt;0,G35&gt;0)</f>
        <v>1</v>
      </c>
    </row>
    <row r="36" spans="1:8" s="3" customFormat="1" x14ac:dyDescent="0.3">
      <c r="A36" s="2" t="s">
        <v>37</v>
      </c>
      <c r="B36" s="3">
        <v>5.2734675379878214E-3</v>
      </c>
      <c r="C36" s="3">
        <v>2.4561451125687368E-2</v>
      </c>
      <c r="D36" s="3">
        <v>0.21470504780039701</v>
      </c>
      <c r="E36" s="3">
        <v>0.82999797775899864</v>
      </c>
      <c r="F36" s="3">
        <v>-4.2867011688117462E-2</v>
      </c>
      <c r="G36" s="3">
        <v>5.3413946764093091E-2</v>
      </c>
      <c r="H36" s="3" t="b">
        <f>AND(F36&lt;0,G36&gt;0)</f>
        <v>1</v>
      </c>
    </row>
    <row r="37" spans="1:8" s="3" customFormat="1" x14ac:dyDescent="0.3">
      <c r="A37" s="2" t="s">
        <v>38</v>
      </c>
      <c r="B37" s="3">
        <v>-0.16980091576164841</v>
      </c>
      <c r="C37" s="3">
        <v>0.50203286582482276</v>
      </c>
      <c r="D37" s="3">
        <v>-0.33822669255462251</v>
      </c>
      <c r="E37" s="3">
        <v>0.73519348283065278</v>
      </c>
      <c r="F37" s="3">
        <v>-1.153786048577599</v>
      </c>
      <c r="G37" s="3">
        <v>0.81418421705430255</v>
      </c>
      <c r="H37" s="3" t="b">
        <f>AND(F37&lt;0,G37&gt;0)</f>
        <v>1</v>
      </c>
    </row>
    <row r="38" spans="1:8" s="3" customFormat="1" x14ac:dyDescent="0.3">
      <c r="A38" s="2" t="s">
        <v>40</v>
      </c>
      <c r="B38" s="3">
        <v>-1.3054780855907911E-2</v>
      </c>
      <c r="C38" s="3">
        <v>1.9204109987579859E-2</v>
      </c>
      <c r="D38" s="3">
        <v>-0.67979098559376172</v>
      </c>
      <c r="E38" s="3">
        <v>0.49663929878388202</v>
      </c>
      <c r="F38" s="3">
        <v>-5.0694863812816522E-2</v>
      </c>
      <c r="G38" s="3">
        <v>2.458530210100069E-2</v>
      </c>
      <c r="H38" s="3" t="b">
        <f>AND(F38&lt;0,G38&gt;0)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CB17-6E21-4CAE-9B62-2BAC55FC689F}">
  <dimension ref="A1:H25"/>
  <sheetViews>
    <sheetView workbookViewId="0">
      <selection sqref="A1:H25"/>
    </sheetView>
  </sheetViews>
  <sheetFormatPr defaultRowHeight="14.4" x14ac:dyDescent="0.3"/>
  <cols>
    <col min="1" max="1" width="29.44140625" customWidth="1"/>
    <col min="2" max="2" width="14.5546875" customWidth="1"/>
    <col min="8" max="8" width="29.5546875" customWidth="1"/>
  </cols>
  <sheetData>
    <row r="1" spans="1:8" x14ac:dyDescent="0.3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94</v>
      </c>
    </row>
    <row r="2" spans="1:8" x14ac:dyDescent="0.3">
      <c r="A2" s="1" t="s">
        <v>6</v>
      </c>
      <c r="B2" s="5">
        <v>-8.4219201680249132</v>
      </c>
      <c r="C2" s="5">
        <v>2.506263634153723</v>
      </c>
      <c r="D2" s="5">
        <v>-3.3603488688326668</v>
      </c>
      <c r="E2" s="5">
        <v>7.7890040342883191E-4</v>
      </c>
      <c r="F2" s="5">
        <v>-13.334200464401089</v>
      </c>
      <c r="G2" s="5">
        <v>-3.509639871648742</v>
      </c>
      <c r="H2" s="5" t="b">
        <f>AND(F2&lt;0,G2&gt;0)</f>
        <v>0</v>
      </c>
    </row>
    <row r="3" spans="1:8" x14ac:dyDescent="0.3">
      <c r="A3" s="1" t="s">
        <v>7</v>
      </c>
      <c r="B3" s="5">
        <v>9.2842976128919589E-4</v>
      </c>
      <c r="C3" s="5">
        <v>2.388206266317753E-4</v>
      </c>
      <c r="D3" s="5">
        <v>3.8875610301479191</v>
      </c>
      <c r="E3" s="5">
        <v>1.013596418739731E-4</v>
      </c>
      <c r="F3" s="5">
        <v>4.6034099258006811E-4</v>
      </c>
      <c r="G3" s="5">
        <v>1.3965185299983239E-3</v>
      </c>
      <c r="H3" s="5" t="b">
        <f>AND(F3&lt;0,G3&gt;0)</f>
        <v>0</v>
      </c>
    </row>
    <row r="4" spans="1:8" x14ac:dyDescent="0.3">
      <c r="A4" s="1" t="s">
        <v>8</v>
      </c>
      <c r="B4" s="5">
        <v>-1.1938809355201691E-2</v>
      </c>
      <c r="C4" s="5">
        <v>1.5554939298760969E-3</v>
      </c>
      <c r="D4" s="5">
        <v>-7.6752529379222221</v>
      </c>
      <c r="E4" s="5">
        <v>1.67444454468702E-14</v>
      </c>
      <c r="F4" s="5">
        <v>-1.498757967558469E-2</v>
      </c>
      <c r="G4" s="5">
        <v>-8.8900390348187024E-3</v>
      </c>
      <c r="H4" s="5" t="b">
        <f>AND(F4&lt;0,G4&gt;0)</f>
        <v>0</v>
      </c>
    </row>
    <row r="5" spans="1:8" x14ac:dyDescent="0.3">
      <c r="A5" s="1" t="s">
        <v>9</v>
      </c>
      <c r="B5" s="5">
        <v>2.9836539754744009E-2</v>
      </c>
      <c r="C5" s="5">
        <v>2.9655753281241648E-3</v>
      </c>
      <c r="D5" s="5">
        <v>10.06096168651926</v>
      </c>
      <c r="E5" s="5">
        <v>8.5646706933695157E-24</v>
      </c>
      <c r="F5" s="5">
        <v>2.40240078832984E-2</v>
      </c>
      <c r="G5" s="5">
        <v>3.5649071626189632E-2</v>
      </c>
      <c r="H5" s="5" t="b">
        <f>AND(F5&lt;0,G5&gt;0)</f>
        <v>0</v>
      </c>
    </row>
    <row r="6" spans="1:8" x14ac:dyDescent="0.3">
      <c r="A6" s="1" t="s">
        <v>10</v>
      </c>
      <c r="B6" s="5">
        <v>7.1543898368588016E-2</v>
      </c>
      <c r="C6" s="5">
        <v>1.9645199718543531E-3</v>
      </c>
      <c r="D6" s="5">
        <v>36.418005107403502</v>
      </c>
      <c r="E6" s="5">
        <v>2.096218544831759E-287</v>
      </c>
      <c r="F6" s="5">
        <v>6.7693436422737632E-2</v>
      </c>
      <c r="G6" s="5">
        <v>7.5394360314438399E-2</v>
      </c>
      <c r="H6" s="5" t="b">
        <f>AND(F6&lt;0,G6&gt;0)</f>
        <v>0</v>
      </c>
    </row>
    <row r="7" spans="1:8" x14ac:dyDescent="0.3">
      <c r="A7" s="1" t="s">
        <v>11</v>
      </c>
      <c r="B7" s="5">
        <v>4.6658817755808896E-3</v>
      </c>
      <c r="C7" s="5">
        <v>1.2387137160821079E-3</v>
      </c>
      <c r="D7" s="5">
        <v>3.7667151941600139</v>
      </c>
      <c r="E7" s="5">
        <v>1.6555904813787511E-4</v>
      </c>
      <c r="F7" s="5">
        <v>2.2380011258998742E-3</v>
      </c>
      <c r="G7" s="5">
        <v>7.0937624252619064E-3</v>
      </c>
      <c r="H7" s="5" t="b">
        <f>AND(F7&lt;0,G7&gt;0)</f>
        <v>0</v>
      </c>
    </row>
    <row r="8" spans="1:8" x14ac:dyDescent="0.3">
      <c r="A8" s="1" t="s">
        <v>12</v>
      </c>
      <c r="B8" s="5">
        <v>0.66724042879836931</v>
      </c>
      <c r="C8" s="5">
        <v>1.9488721064494609E-3</v>
      </c>
      <c r="D8" s="5">
        <v>342.37260956747792</v>
      </c>
      <c r="E8" s="5">
        <v>0</v>
      </c>
      <c r="F8" s="5">
        <v>0.66342063669102325</v>
      </c>
      <c r="G8" s="5">
        <v>0.67106022090571538</v>
      </c>
      <c r="H8" s="5" t="b">
        <f>AND(F8&lt;0,G8&gt;0)</f>
        <v>0</v>
      </c>
    </row>
    <row r="9" spans="1:8" x14ac:dyDescent="0.3">
      <c r="A9" s="1" t="s">
        <v>15</v>
      </c>
      <c r="B9" s="5">
        <v>-0.1853526101930846</v>
      </c>
      <c r="C9" s="5">
        <v>2.002373354264721E-2</v>
      </c>
      <c r="D9" s="5">
        <v>-9.2566458596901757</v>
      </c>
      <c r="E9" s="5">
        <v>2.1729576322683729E-20</v>
      </c>
      <c r="F9" s="5">
        <v>-0.22459915648654591</v>
      </c>
      <c r="G9" s="5">
        <v>-0.14610606389962341</v>
      </c>
      <c r="H9" s="5" t="b">
        <f>AND(F9&lt;0,G9&gt;0)</f>
        <v>0</v>
      </c>
    </row>
    <row r="10" spans="1:8" x14ac:dyDescent="0.3">
      <c r="A10" s="1" t="s">
        <v>16</v>
      </c>
      <c r="B10" s="5">
        <v>-0.118184362086751</v>
      </c>
      <c r="C10" s="5">
        <v>2.240570692599329E-2</v>
      </c>
      <c r="D10" s="5">
        <v>-5.2747437283330267</v>
      </c>
      <c r="E10" s="5">
        <v>1.333771533346724E-7</v>
      </c>
      <c r="F10" s="5">
        <v>-0.16209957960779209</v>
      </c>
      <c r="G10" s="5">
        <v>-7.4269144565709766E-2</v>
      </c>
      <c r="H10" s="5" t="b">
        <f>AND(F10&lt;0,G10&gt;0)</f>
        <v>0</v>
      </c>
    </row>
    <row r="11" spans="1:8" x14ac:dyDescent="0.3">
      <c r="A11" s="1" t="s">
        <v>17</v>
      </c>
      <c r="B11" s="5">
        <v>-0.12270002789456171</v>
      </c>
      <c r="C11" s="5">
        <v>8.7269351158987384E-3</v>
      </c>
      <c r="D11" s="5">
        <v>-14.059922099228929</v>
      </c>
      <c r="E11" s="5">
        <v>7.821919720338315E-45</v>
      </c>
      <c r="F11" s="5">
        <v>-0.13980483316460179</v>
      </c>
      <c r="G11" s="5">
        <v>-0.10559522262452151</v>
      </c>
      <c r="H11" s="5" t="b">
        <f>AND(F11&lt;0,G11&gt;0)</f>
        <v>0</v>
      </c>
    </row>
    <row r="12" spans="1:8" x14ac:dyDescent="0.3">
      <c r="A12" s="1" t="s">
        <v>18</v>
      </c>
      <c r="B12" s="5">
        <v>-7.5596089229987951E-2</v>
      </c>
      <c r="C12" s="5">
        <v>1.111172956856228E-2</v>
      </c>
      <c r="D12" s="5">
        <v>-6.8032693527628014</v>
      </c>
      <c r="E12" s="5">
        <v>1.0317618323767409E-11</v>
      </c>
      <c r="F12" s="5">
        <v>-9.7375095027492586E-2</v>
      </c>
      <c r="G12" s="5">
        <v>-5.3817083432483308E-2</v>
      </c>
      <c r="H12" s="5" t="b">
        <f>AND(F12&lt;0,G12&gt;0)</f>
        <v>0</v>
      </c>
    </row>
    <row r="13" spans="1:8" x14ac:dyDescent="0.3">
      <c r="A13" s="1" t="s">
        <v>19</v>
      </c>
      <c r="B13" s="5">
        <v>-7.3651256357823255E-2</v>
      </c>
      <c r="C13" s="5">
        <v>2.2625221506378069E-2</v>
      </c>
      <c r="D13" s="5">
        <v>-3.2552722781989512</v>
      </c>
      <c r="E13" s="5">
        <v>1.133431304611951E-3</v>
      </c>
      <c r="F13" s="5">
        <v>-0.1179967227694029</v>
      </c>
      <c r="G13" s="5">
        <v>-2.9305789946243641E-2</v>
      </c>
      <c r="H13" s="5" t="b">
        <f>AND(F13&lt;0,G13&gt;0)</f>
        <v>0</v>
      </c>
    </row>
    <row r="14" spans="1:8" x14ac:dyDescent="0.3">
      <c r="A14" s="1" t="s">
        <v>20</v>
      </c>
      <c r="B14" s="5">
        <v>-0.1333396883631244</v>
      </c>
      <c r="C14" s="5">
        <v>4.6395985398517602E-2</v>
      </c>
      <c r="D14" s="5">
        <v>-2.8739488388446799</v>
      </c>
      <c r="E14" s="5">
        <v>4.055094014096104E-3</v>
      </c>
      <c r="F14" s="5">
        <v>-0.22427588589569239</v>
      </c>
      <c r="G14" s="5">
        <v>-4.2403490830556459E-2</v>
      </c>
      <c r="H14" s="5" t="b">
        <f>AND(F14&lt;0,G14&gt;0)</f>
        <v>0</v>
      </c>
    </row>
    <row r="15" spans="1:8" x14ac:dyDescent="0.3">
      <c r="A15" s="1" t="s">
        <v>21</v>
      </c>
      <c r="B15" s="5">
        <v>-0.10940313038536829</v>
      </c>
      <c r="C15" s="5">
        <v>1.1264459964695999E-2</v>
      </c>
      <c r="D15" s="5">
        <v>-9.7122392665293482</v>
      </c>
      <c r="E15" s="5">
        <v>2.7714661972169622E-22</v>
      </c>
      <c r="F15" s="5">
        <v>-0.13148148797705819</v>
      </c>
      <c r="G15" s="5">
        <v>-8.7324772793678271E-2</v>
      </c>
      <c r="H15" s="5" t="b">
        <f>AND(F15&lt;0,G15&gt;0)</f>
        <v>0</v>
      </c>
    </row>
    <row r="16" spans="1:8" x14ac:dyDescent="0.3">
      <c r="A16" s="1" t="s">
        <v>22</v>
      </c>
      <c r="B16" s="5">
        <v>3.8692610268414633E-2</v>
      </c>
      <c r="C16" s="5">
        <v>1.7827674022685751E-2</v>
      </c>
      <c r="D16" s="5">
        <v>2.1703678348155901</v>
      </c>
      <c r="E16" s="5">
        <v>2.9982693169831182E-2</v>
      </c>
      <c r="F16" s="5">
        <v>3.7503437652231589E-3</v>
      </c>
      <c r="G16" s="5">
        <v>7.36348767716061E-2</v>
      </c>
      <c r="H16" s="5" t="b">
        <f>AND(F16&lt;0,G16&gt;0)</f>
        <v>0</v>
      </c>
    </row>
    <row r="17" spans="1:8" x14ac:dyDescent="0.3">
      <c r="A17" s="1" t="s">
        <v>27</v>
      </c>
      <c r="B17" s="5">
        <v>-0.17040149109073749</v>
      </c>
      <c r="C17" s="5">
        <v>1.8379216206868668E-2</v>
      </c>
      <c r="D17" s="5">
        <v>-9.2714231756550731</v>
      </c>
      <c r="E17" s="5">
        <v>1.8923491991101929E-20</v>
      </c>
      <c r="F17" s="5">
        <v>-0.20642478106131729</v>
      </c>
      <c r="G17" s="5">
        <v>-0.1343782011201578</v>
      </c>
      <c r="H17" s="5" t="b">
        <f>AND(F17&lt;0,G17&gt;0)</f>
        <v>0</v>
      </c>
    </row>
    <row r="18" spans="1:8" x14ac:dyDescent="0.3">
      <c r="A18" s="1" t="s">
        <v>31</v>
      </c>
      <c r="B18" s="5">
        <v>5.7974951535824798E-2</v>
      </c>
      <c r="C18" s="5">
        <v>1.854496042767477E-2</v>
      </c>
      <c r="D18" s="5">
        <v>3.1261836207160831</v>
      </c>
      <c r="E18" s="5">
        <v>1.7717097508305299E-3</v>
      </c>
      <c r="F18" s="5">
        <v>2.162680265614671E-2</v>
      </c>
      <c r="G18" s="5">
        <v>9.4323100415502903E-2</v>
      </c>
      <c r="H18" s="5" t="b">
        <f>AND(F18&lt;0,G18&gt;0)</f>
        <v>0</v>
      </c>
    </row>
    <row r="19" spans="1:8" x14ac:dyDescent="0.3">
      <c r="A19" s="1" t="s">
        <v>32</v>
      </c>
      <c r="B19" s="5">
        <v>-0.1203597854412575</v>
      </c>
      <c r="C19" s="5">
        <v>1.753714366409128E-2</v>
      </c>
      <c r="D19" s="5">
        <v>-6.8631350547526093</v>
      </c>
      <c r="E19" s="5">
        <v>6.7982521332848819E-12</v>
      </c>
      <c r="F19" s="5">
        <v>-0.15473261202736521</v>
      </c>
      <c r="G19" s="5">
        <v>-8.5986958855149884E-2</v>
      </c>
      <c r="H19" s="5" t="b">
        <f>AND(F19&lt;0,G19&gt;0)</f>
        <v>0</v>
      </c>
    </row>
    <row r="20" spans="1:8" x14ac:dyDescent="0.3">
      <c r="A20" s="1" t="s">
        <v>33</v>
      </c>
      <c r="B20" s="5">
        <v>-5.2348839430357043E-2</v>
      </c>
      <c r="C20" s="5">
        <v>1.688247442704207E-2</v>
      </c>
      <c r="D20" s="5">
        <v>-3.1007800222996651</v>
      </c>
      <c r="E20" s="5">
        <v>1.9309627646795671E-3</v>
      </c>
      <c r="F20" s="5">
        <v>-8.5438513378419734E-2</v>
      </c>
      <c r="G20" s="5">
        <v>-1.9259165482294349E-2</v>
      </c>
      <c r="H20" s="5" t="b">
        <f>AND(F20&lt;0,G20&gt;0)</f>
        <v>0</v>
      </c>
    </row>
    <row r="21" spans="1:8" x14ac:dyDescent="0.3">
      <c r="A21" s="1" t="s">
        <v>34</v>
      </c>
      <c r="B21" s="5">
        <v>-0.41249482019829092</v>
      </c>
      <c r="C21" s="5">
        <v>3.2691931792497513E-2</v>
      </c>
      <c r="D21" s="5">
        <v>-12.61763369679349</v>
      </c>
      <c r="E21" s="5">
        <v>1.8677634693524371E-36</v>
      </c>
      <c r="F21" s="5">
        <v>-0.47657105312379688</v>
      </c>
      <c r="G21" s="5">
        <v>-0.34841858727278491</v>
      </c>
      <c r="H21" s="5" t="b">
        <f>AND(F21&lt;0,G21&gt;0)</f>
        <v>0</v>
      </c>
    </row>
    <row r="22" spans="1:8" x14ac:dyDescent="0.3">
      <c r="A22" s="1" t="s">
        <v>36</v>
      </c>
      <c r="B22" s="5">
        <v>-0.1338380025973151</v>
      </c>
      <c r="C22" s="5">
        <v>2.317982715492712E-2</v>
      </c>
      <c r="D22" s="5">
        <v>-5.7738999390625914</v>
      </c>
      <c r="E22" s="5">
        <v>7.7817959366389752E-9</v>
      </c>
      <c r="F22" s="5">
        <v>-0.17927049687080851</v>
      </c>
      <c r="G22" s="5">
        <v>-8.8405508323821658E-2</v>
      </c>
      <c r="H22" s="5" t="b">
        <f>AND(F22&lt;0,G22&gt;0)</f>
        <v>0</v>
      </c>
    </row>
    <row r="23" spans="1:8" x14ac:dyDescent="0.3">
      <c r="A23" s="1" t="s">
        <v>39</v>
      </c>
      <c r="B23" s="5">
        <v>4.0959532674197489E-2</v>
      </c>
      <c r="C23" s="5">
        <v>1.9095742747761189E-2</v>
      </c>
      <c r="D23" s="5">
        <v>2.1449562457579532</v>
      </c>
      <c r="E23" s="5">
        <v>3.1960135804235568E-2</v>
      </c>
      <c r="F23" s="5">
        <v>3.5318496618436741E-3</v>
      </c>
      <c r="G23" s="5">
        <v>7.8387215686551298E-2</v>
      </c>
      <c r="H23" s="5" t="b">
        <f>AND(F23&lt;0,G23&gt;0)</f>
        <v>0</v>
      </c>
    </row>
    <row r="24" spans="1:8" x14ac:dyDescent="0.3">
      <c r="A24" s="1" t="s">
        <v>41</v>
      </c>
      <c r="B24" s="5">
        <v>-4.2242094335771557E-2</v>
      </c>
      <c r="C24" s="5">
        <v>4.5062990780431146E-3</v>
      </c>
      <c r="D24" s="5">
        <v>-9.3740103806237869</v>
      </c>
      <c r="E24" s="5">
        <v>7.2035468962168358E-21</v>
      </c>
      <c r="F24" s="5">
        <v>-5.1074446953824813E-2</v>
      </c>
      <c r="G24" s="5">
        <v>-3.3409741717718301E-2</v>
      </c>
      <c r="H24" s="5" t="b">
        <f>AND(F24&lt;0,G24&gt;0)</f>
        <v>0</v>
      </c>
    </row>
    <row r="25" spans="1:8" x14ac:dyDescent="0.3">
      <c r="A25" s="1" t="s">
        <v>42</v>
      </c>
      <c r="B25" s="5">
        <v>-0.1539570227504205</v>
      </c>
      <c r="C25" s="5">
        <v>1.9660482678032221E-2</v>
      </c>
      <c r="D25" s="5">
        <v>-7.8307855036766423</v>
      </c>
      <c r="E25" s="5">
        <v>4.9230980747177576E-15</v>
      </c>
      <c r="F25" s="5">
        <v>-0.1924915968313127</v>
      </c>
      <c r="G25" s="5">
        <v>-0.1154224486695283</v>
      </c>
      <c r="H25" s="5" t="b">
        <f>AND(F25&lt;0,G25&gt;0)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43</v>
      </c>
      <c r="B1" s="1" t="s">
        <v>44</v>
      </c>
    </row>
    <row r="2" spans="1:2" x14ac:dyDescent="0.3">
      <c r="A2" t="s">
        <v>45</v>
      </c>
      <c r="B2">
        <v>0.71046866458108304</v>
      </c>
    </row>
    <row r="3" spans="1:2" x14ac:dyDescent="0.3">
      <c r="A3" t="s">
        <v>46</v>
      </c>
      <c r="B3">
        <v>0.71030416073684011</v>
      </c>
    </row>
    <row r="4" spans="1:2" x14ac:dyDescent="0.3">
      <c r="A4" t="s">
        <v>47</v>
      </c>
      <c r="B4">
        <v>0.3462913645058906</v>
      </c>
    </row>
    <row r="5" spans="1:2" x14ac:dyDescent="0.3">
      <c r="A5" t="s">
        <v>48</v>
      </c>
      <c r="B5">
        <v>0.25161600603752199</v>
      </c>
    </row>
    <row r="6" spans="1:2" x14ac:dyDescent="0.3">
      <c r="A6" t="s">
        <v>49</v>
      </c>
      <c r="B6">
        <v>0.50161340296838364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42F0-030C-41E1-ABAB-E33D47523B54}">
  <dimension ref="A1:J27"/>
  <sheetViews>
    <sheetView tabSelected="1" workbookViewId="0">
      <selection activeCell="A11" sqref="A11"/>
    </sheetView>
  </sheetViews>
  <sheetFormatPr defaultRowHeight="14.4" x14ac:dyDescent="0.3"/>
  <cols>
    <col min="1" max="1" width="3.109375" customWidth="1"/>
    <col min="2" max="2" width="47.44140625" customWidth="1"/>
    <col min="3" max="3" width="12.6640625" bestFit="1" customWidth="1"/>
    <col min="4" max="4" width="12.6640625" hidden="1" customWidth="1"/>
    <col min="5" max="5" width="12" bestFit="1" customWidth="1"/>
    <col min="6" max="6" width="12.6640625" bestFit="1" customWidth="1"/>
    <col min="7" max="7" width="12" hidden="1" customWidth="1"/>
    <col min="8" max="9" width="12.6640625" bestFit="1" customWidth="1"/>
    <col min="10" max="10" width="7.33203125" hidden="1" customWidth="1"/>
  </cols>
  <sheetData>
    <row r="1" spans="1:10" x14ac:dyDescent="0.3">
      <c r="B1" s="24" t="s">
        <v>97</v>
      </c>
      <c r="C1" s="24"/>
      <c r="D1" s="24"/>
      <c r="E1" s="24"/>
      <c r="F1" s="24"/>
      <c r="G1" s="24"/>
      <c r="H1" s="24"/>
      <c r="I1" s="24"/>
      <c r="J1" s="24"/>
    </row>
    <row r="2" spans="1:10" s="11" customFormat="1" ht="15.6" x14ac:dyDescent="0.3">
      <c r="A2" s="30"/>
      <c r="B2" s="26" t="s">
        <v>96</v>
      </c>
      <c r="C2" s="27" t="s">
        <v>0</v>
      </c>
      <c r="D2" s="27" t="s">
        <v>95</v>
      </c>
      <c r="E2" s="27" t="s">
        <v>1</v>
      </c>
      <c r="F2" s="27" t="s">
        <v>2</v>
      </c>
      <c r="G2" s="27" t="s">
        <v>3</v>
      </c>
      <c r="H2" s="27" t="s">
        <v>4</v>
      </c>
      <c r="I2" s="27" t="s">
        <v>5</v>
      </c>
      <c r="J2" s="25" t="s">
        <v>94</v>
      </c>
    </row>
    <row r="3" spans="1:10" x14ac:dyDescent="0.3">
      <c r="A3" s="5">
        <v>1</v>
      </c>
      <c r="B3" s="1" t="s">
        <v>12</v>
      </c>
      <c r="C3" s="5">
        <v>0.66724042879836931</v>
      </c>
      <c r="D3" s="5">
        <f>ABS(C3)</f>
        <v>0.66724042879836931</v>
      </c>
      <c r="E3" s="5">
        <v>1.9488721064494609E-3</v>
      </c>
      <c r="F3" s="5">
        <v>342.37260956747792</v>
      </c>
      <c r="G3" s="5">
        <v>0</v>
      </c>
      <c r="H3" s="5">
        <v>0.66342063669102325</v>
      </c>
      <c r="I3" s="5">
        <v>0.67106022090571538</v>
      </c>
      <c r="J3" s="5" t="b">
        <f>AND(H3&lt;0,I3&gt;0)</f>
        <v>0</v>
      </c>
    </row>
    <row r="4" spans="1:10" x14ac:dyDescent="0.3">
      <c r="A4" s="5">
        <v>2</v>
      </c>
      <c r="B4" s="1" t="s">
        <v>10</v>
      </c>
      <c r="C4" s="5">
        <v>7.1543898368588016E-2</v>
      </c>
      <c r="D4" s="5">
        <f>ABS(C4)</f>
        <v>7.1543898368588016E-2</v>
      </c>
      <c r="E4" s="5">
        <v>1.9645199718543531E-3</v>
      </c>
      <c r="F4" s="5">
        <v>36.418005107403502</v>
      </c>
      <c r="G4" s="5">
        <v>2.096218544831759E-287</v>
      </c>
      <c r="H4" s="5">
        <v>6.7693436422737632E-2</v>
      </c>
      <c r="I4" s="5">
        <v>7.5394360314438399E-2</v>
      </c>
      <c r="J4" s="5" t="b">
        <f>AND(H4&lt;0,I4&gt;0)</f>
        <v>0</v>
      </c>
    </row>
    <row r="5" spans="1:10" x14ac:dyDescent="0.3">
      <c r="A5" s="5">
        <v>3</v>
      </c>
      <c r="B5" s="1" t="s">
        <v>31</v>
      </c>
      <c r="C5" s="5">
        <v>5.7974951535824798E-2</v>
      </c>
      <c r="D5" s="5">
        <f>ABS(C5)</f>
        <v>5.7974951535824798E-2</v>
      </c>
      <c r="E5" s="5">
        <v>1.854496042767477E-2</v>
      </c>
      <c r="F5" s="5">
        <v>3.1261836207160831</v>
      </c>
      <c r="G5" s="5">
        <v>1.7717097508305299E-3</v>
      </c>
      <c r="H5" s="5">
        <v>2.162680265614671E-2</v>
      </c>
      <c r="I5" s="5">
        <v>9.4323100415502903E-2</v>
      </c>
      <c r="J5" s="5" t="b">
        <f>AND(H5&lt;0,I5&gt;0)</f>
        <v>0</v>
      </c>
    </row>
    <row r="6" spans="1:10" x14ac:dyDescent="0.3">
      <c r="A6" s="5">
        <v>4</v>
      </c>
      <c r="B6" s="1" t="s">
        <v>39</v>
      </c>
      <c r="C6" s="5">
        <v>4.0959532674197489E-2</v>
      </c>
      <c r="D6" s="5">
        <f>ABS(C6)</f>
        <v>4.0959532674197489E-2</v>
      </c>
      <c r="E6" s="5">
        <v>1.9095742747761189E-2</v>
      </c>
      <c r="F6" s="5">
        <v>2.1449562457579532</v>
      </c>
      <c r="G6" s="5">
        <v>3.1960135804235568E-2</v>
      </c>
      <c r="H6" s="5">
        <v>3.5318496618436741E-3</v>
      </c>
      <c r="I6" s="5">
        <v>7.8387215686551298E-2</v>
      </c>
      <c r="J6" s="5" t="b">
        <f>AND(H6&lt;0,I6&gt;0)</f>
        <v>0</v>
      </c>
    </row>
    <row r="7" spans="1:10" x14ac:dyDescent="0.3">
      <c r="A7" s="5">
        <v>5</v>
      </c>
      <c r="B7" s="1" t="s">
        <v>22</v>
      </c>
      <c r="C7" s="5">
        <v>3.8692610268414633E-2</v>
      </c>
      <c r="D7" s="5">
        <f>ABS(C7)</f>
        <v>3.8692610268414633E-2</v>
      </c>
      <c r="E7" s="5">
        <v>1.7827674022685751E-2</v>
      </c>
      <c r="F7" s="5">
        <v>2.1703678348155901</v>
      </c>
      <c r="G7" s="5">
        <v>2.9982693169831182E-2</v>
      </c>
      <c r="H7" s="5">
        <v>3.7503437652231589E-3</v>
      </c>
      <c r="I7" s="5">
        <v>7.36348767716061E-2</v>
      </c>
      <c r="J7" s="5" t="b">
        <f>AND(H7&lt;0,I7&gt;0)</f>
        <v>0</v>
      </c>
    </row>
    <row r="8" spans="1:10" x14ac:dyDescent="0.3">
      <c r="A8" s="5">
        <v>6</v>
      </c>
      <c r="B8" s="1" t="s">
        <v>9</v>
      </c>
      <c r="C8" s="5">
        <v>2.9836539754744009E-2</v>
      </c>
      <c r="D8" s="5">
        <f>ABS(C8)</f>
        <v>2.9836539754744009E-2</v>
      </c>
      <c r="E8" s="5">
        <v>2.9655753281241648E-3</v>
      </c>
      <c r="F8" s="5">
        <v>10.06096168651926</v>
      </c>
      <c r="G8" s="5">
        <v>8.5646706933695157E-24</v>
      </c>
      <c r="H8" s="5">
        <v>2.40240078832984E-2</v>
      </c>
      <c r="I8" s="5">
        <v>3.5649071626189632E-2</v>
      </c>
      <c r="J8" s="5" t="b">
        <f>AND(H8&lt;0,I8&gt;0)</f>
        <v>0</v>
      </c>
    </row>
    <row r="9" spans="1:10" x14ac:dyDescent="0.3">
      <c r="A9" s="5">
        <v>7</v>
      </c>
      <c r="B9" s="1" t="s">
        <v>11</v>
      </c>
      <c r="C9" s="5">
        <v>4.6658817755808896E-3</v>
      </c>
      <c r="D9" s="5">
        <f>ABS(C9)</f>
        <v>4.6658817755808896E-3</v>
      </c>
      <c r="E9" s="5">
        <v>1.2387137160821079E-3</v>
      </c>
      <c r="F9" s="5">
        <v>3.7667151941600139</v>
      </c>
      <c r="G9" s="5">
        <v>1.6555904813787511E-4</v>
      </c>
      <c r="H9" s="5">
        <v>2.2380011258998742E-3</v>
      </c>
      <c r="I9" s="5">
        <v>7.0937624252619064E-3</v>
      </c>
      <c r="J9" s="5" t="b">
        <f>AND(H9&lt;0,I9&gt;0)</f>
        <v>0</v>
      </c>
    </row>
    <row r="10" spans="1:10" x14ac:dyDescent="0.3">
      <c r="A10" s="5">
        <v>8</v>
      </c>
      <c r="B10" s="1" t="s">
        <v>7</v>
      </c>
      <c r="C10" s="5">
        <v>9.2842976128919589E-4</v>
      </c>
      <c r="D10" s="5">
        <f>ABS(C10)</f>
        <v>9.2842976128919589E-4</v>
      </c>
      <c r="E10" s="5">
        <v>2.388206266317753E-4</v>
      </c>
      <c r="F10" s="5">
        <v>3.8875610301479191</v>
      </c>
      <c r="G10" s="5">
        <v>1.013596418739731E-4</v>
      </c>
      <c r="H10" s="5">
        <v>4.6034099258006811E-4</v>
      </c>
      <c r="I10" s="5">
        <v>1.3965185299983239E-3</v>
      </c>
      <c r="J10" s="5" t="b">
        <f>AND(H10&lt;0,I10&gt;0)</f>
        <v>0</v>
      </c>
    </row>
    <row r="11" spans="1:10" ht="21.6" customHeight="1" x14ac:dyDescent="0.3">
      <c r="A11" s="31"/>
      <c r="B11" s="26" t="s">
        <v>96</v>
      </c>
      <c r="C11" s="27" t="s">
        <v>0</v>
      </c>
      <c r="D11" s="28" t="s">
        <v>95</v>
      </c>
      <c r="E11" s="27" t="s">
        <v>1</v>
      </c>
      <c r="F11" s="27" t="s">
        <v>2</v>
      </c>
      <c r="G11" s="27" t="s">
        <v>3</v>
      </c>
      <c r="H11" s="27" t="s">
        <v>4</v>
      </c>
      <c r="I11" s="27" t="s">
        <v>5</v>
      </c>
      <c r="J11" s="6" t="s">
        <v>94</v>
      </c>
    </row>
    <row r="12" spans="1:10" x14ac:dyDescent="0.3">
      <c r="A12" s="5">
        <v>9</v>
      </c>
      <c r="B12" s="1" t="s">
        <v>6</v>
      </c>
      <c r="C12" s="29">
        <v>-8.4219201680249132</v>
      </c>
      <c r="D12" s="5">
        <f>ABS(C12)</f>
        <v>8.4219201680249132</v>
      </c>
      <c r="E12" s="5">
        <v>2.506263634153723</v>
      </c>
      <c r="F12" s="5">
        <v>-3.3603488688326668</v>
      </c>
      <c r="G12" s="5">
        <v>7.7890040342883191E-4</v>
      </c>
      <c r="H12" s="5">
        <v>-13.334200464401089</v>
      </c>
      <c r="I12" s="5">
        <v>-3.509639871648742</v>
      </c>
      <c r="J12" s="5" t="b">
        <f>AND(H12&lt;0,I12&gt;0)</f>
        <v>0</v>
      </c>
    </row>
    <row r="13" spans="1:10" x14ac:dyDescent="0.3">
      <c r="A13" s="5">
        <v>10</v>
      </c>
      <c r="B13" s="1" t="s">
        <v>34</v>
      </c>
      <c r="C13" s="29">
        <v>-0.41249482019829092</v>
      </c>
      <c r="D13" s="5">
        <f>ABS(C13)</f>
        <v>0.41249482019829092</v>
      </c>
      <c r="E13" s="5">
        <v>3.2691931792497513E-2</v>
      </c>
      <c r="F13" s="5">
        <v>-12.61763369679349</v>
      </c>
      <c r="G13" s="5">
        <v>1.8677634693524371E-36</v>
      </c>
      <c r="H13" s="5">
        <v>-0.47657105312379688</v>
      </c>
      <c r="I13" s="5">
        <v>-0.34841858727278491</v>
      </c>
      <c r="J13" s="5" t="b">
        <f>AND(H13&lt;0,I13&gt;0)</f>
        <v>0</v>
      </c>
    </row>
    <row r="14" spans="1:10" x14ac:dyDescent="0.3">
      <c r="A14" s="5">
        <v>11</v>
      </c>
      <c r="B14" s="1" t="s">
        <v>15</v>
      </c>
      <c r="C14" s="29">
        <v>-0.1853526101930846</v>
      </c>
      <c r="D14" s="5">
        <f>ABS(C14)</f>
        <v>0.1853526101930846</v>
      </c>
      <c r="E14" s="5">
        <v>2.002373354264721E-2</v>
      </c>
      <c r="F14" s="5">
        <v>-9.2566458596901757</v>
      </c>
      <c r="G14" s="5">
        <v>2.1729576322683729E-20</v>
      </c>
      <c r="H14" s="5">
        <v>-0.22459915648654591</v>
      </c>
      <c r="I14" s="5">
        <v>-0.14610606389962341</v>
      </c>
      <c r="J14" s="5" t="b">
        <f>AND(H14&lt;0,I14&gt;0)</f>
        <v>0</v>
      </c>
    </row>
    <row r="15" spans="1:10" x14ac:dyDescent="0.3">
      <c r="A15" s="5">
        <v>12</v>
      </c>
      <c r="B15" s="1" t="s">
        <v>27</v>
      </c>
      <c r="C15" s="29">
        <v>-0.17040149109073749</v>
      </c>
      <c r="D15" s="5">
        <f>ABS(C15)</f>
        <v>0.17040149109073749</v>
      </c>
      <c r="E15" s="5">
        <v>1.8379216206868668E-2</v>
      </c>
      <c r="F15" s="5">
        <v>-9.2714231756550731</v>
      </c>
      <c r="G15" s="5">
        <v>1.8923491991101929E-20</v>
      </c>
      <c r="H15" s="5">
        <v>-0.20642478106131729</v>
      </c>
      <c r="I15" s="5">
        <v>-0.1343782011201578</v>
      </c>
      <c r="J15" s="5" t="b">
        <f>AND(H15&lt;0,I15&gt;0)</f>
        <v>0</v>
      </c>
    </row>
    <row r="16" spans="1:10" x14ac:dyDescent="0.3">
      <c r="A16" s="5">
        <v>13</v>
      </c>
      <c r="B16" s="1" t="s">
        <v>42</v>
      </c>
      <c r="C16" s="29">
        <v>-0.1539570227504205</v>
      </c>
      <c r="D16" s="5">
        <f>ABS(C16)</f>
        <v>0.1539570227504205</v>
      </c>
      <c r="E16" s="5">
        <v>1.9660482678032221E-2</v>
      </c>
      <c r="F16" s="5">
        <v>-7.8307855036766423</v>
      </c>
      <c r="G16" s="5">
        <v>4.9230980747177576E-15</v>
      </c>
      <c r="H16" s="5">
        <v>-0.1924915968313127</v>
      </c>
      <c r="I16" s="5">
        <v>-0.1154224486695283</v>
      </c>
      <c r="J16" s="5" t="b">
        <f>AND(H16&lt;0,I16&gt;0)</f>
        <v>0</v>
      </c>
    </row>
    <row r="17" spans="1:10" x14ac:dyDescent="0.3">
      <c r="A17" s="5">
        <v>14</v>
      </c>
      <c r="B17" s="1" t="s">
        <v>36</v>
      </c>
      <c r="C17" s="29">
        <v>-0.1338380025973151</v>
      </c>
      <c r="D17" s="5">
        <f>ABS(C17)</f>
        <v>0.1338380025973151</v>
      </c>
      <c r="E17" s="5">
        <v>2.317982715492712E-2</v>
      </c>
      <c r="F17" s="5">
        <v>-5.7738999390625914</v>
      </c>
      <c r="G17" s="5">
        <v>7.7817959366389752E-9</v>
      </c>
      <c r="H17" s="5">
        <v>-0.17927049687080851</v>
      </c>
      <c r="I17" s="5">
        <v>-8.8405508323821658E-2</v>
      </c>
      <c r="J17" s="5" t="b">
        <f>AND(H17&lt;0,I17&gt;0)</f>
        <v>0</v>
      </c>
    </row>
    <row r="18" spans="1:10" x14ac:dyDescent="0.3">
      <c r="A18" s="5">
        <v>15</v>
      </c>
      <c r="B18" s="1" t="s">
        <v>20</v>
      </c>
      <c r="C18" s="29">
        <v>-0.1333396883631244</v>
      </c>
      <c r="D18" s="5">
        <f>ABS(C18)</f>
        <v>0.1333396883631244</v>
      </c>
      <c r="E18" s="5">
        <v>4.6395985398517602E-2</v>
      </c>
      <c r="F18" s="5">
        <v>-2.8739488388446799</v>
      </c>
      <c r="G18" s="5">
        <v>4.055094014096104E-3</v>
      </c>
      <c r="H18" s="5">
        <v>-0.22427588589569239</v>
      </c>
      <c r="I18" s="5">
        <v>-4.2403490830556459E-2</v>
      </c>
      <c r="J18" s="5" t="b">
        <f>AND(H18&lt;0,I18&gt;0)</f>
        <v>0</v>
      </c>
    </row>
    <row r="19" spans="1:10" x14ac:dyDescent="0.3">
      <c r="A19" s="5">
        <v>16</v>
      </c>
      <c r="B19" s="1" t="s">
        <v>17</v>
      </c>
      <c r="C19" s="29">
        <v>-0.12270002789456171</v>
      </c>
      <c r="D19" s="5">
        <f>ABS(C19)</f>
        <v>0.12270002789456171</v>
      </c>
      <c r="E19" s="5">
        <v>8.7269351158987384E-3</v>
      </c>
      <c r="F19" s="5">
        <v>-14.059922099228929</v>
      </c>
      <c r="G19" s="5">
        <v>7.821919720338315E-45</v>
      </c>
      <c r="H19" s="5">
        <v>-0.13980483316460179</v>
      </c>
      <c r="I19" s="5">
        <v>-0.10559522262452151</v>
      </c>
      <c r="J19" s="5" t="b">
        <f>AND(H19&lt;0,I19&gt;0)</f>
        <v>0</v>
      </c>
    </row>
    <row r="20" spans="1:10" x14ac:dyDescent="0.3">
      <c r="A20" s="5">
        <v>17</v>
      </c>
      <c r="B20" s="1" t="s">
        <v>32</v>
      </c>
      <c r="C20" s="29">
        <v>-0.1203597854412575</v>
      </c>
      <c r="D20" s="5">
        <f>ABS(C20)</f>
        <v>0.1203597854412575</v>
      </c>
      <c r="E20" s="5">
        <v>1.753714366409128E-2</v>
      </c>
      <c r="F20" s="5">
        <v>-6.8631350547526093</v>
      </c>
      <c r="G20" s="5">
        <v>6.7982521332848819E-12</v>
      </c>
      <c r="H20" s="5">
        <v>-0.15473261202736521</v>
      </c>
      <c r="I20" s="5">
        <v>-8.5986958855149884E-2</v>
      </c>
      <c r="J20" s="5" t="b">
        <f>AND(H20&lt;0,I20&gt;0)</f>
        <v>0</v>
      </c>
    </row>
    <row r="21" spans="1:10" x14ac:dyDescent="0.3">
      <c r="A21" s="5">
        <v>18</v>
      </c>
      <c r="B21" s="1" t="s">
        <v>16</v>
      </c>
      <c r="C21" s="29">
        <v>-0.118184362086751</v>
      </c>
      <c r="D21" s="5">
        <f>ABS(C21)</f>
        <v>0.118184362086751</v>
      </c>
      <c r="E21" s="5">
        <v>2.240570692599329E-2</v>
      </c>
      <c r="F21" s="5">
        <v>-5.2747437283330267</v>
      </c>
      <c r="G21" s="5">
        <v>1.333771533346724E-7</v>
      </c>
      <c r="H21" s="5">
        <v>-0.16209957960779209</v>
      </c>
      <c r="I21" s="5">
        <v>-7.4269144565709766E-2</v>
      </c>
      <c r="J21" s="5" t="b">
        <f>AND(H21&lt;0,I21&gt;0)</f>
        <v>0</v>
      </c>
    </row>
    <row r="22" spans="1:10" x14ac:dyDescent="0.3">
      <c r="A22" s="5">
        <v>19</v>
      </c>
      <c r="B22" s="1" t="s">
        <v>21</v>
      </c>
      <c r="C22" s="29">
        <v>-0.10940313038536829</v>
      </c>
      <c r="D22" s="5">
        <f>ABS(C22)</f>
        <v>0.10940313038536829</v>
      </c>
      <c r="E22" s="5">
        <v>1.1264459964695999E-2</v>
      </c>
      <c r="F22" s="5">
        <v>-9.7122392665293482</v>
      </c>
      <c r="G22" s="5">
        <v>2.7714661972169622E-22</v>
      </c>
      <c r="H22" s="5">
        <v>-0.13148148797705819</v>
      </c>
      <c r="I22" s="5">
        <v>-8.7324772793678271E-2</v>
      </c>
      <c r="J22" s="5" t="b">
        <f>AND(H22&lt;0,I22&gt;0)</f>
        <v>0</v>
      </c>
    </row>
    <row r="23" spans="1:10" x14ac:dyDescent="0.3">
      <c r="A23" s="5">
        <v>20</v>
      </c>
      <c r="B23" s="1" t="s">
        <v>18</v>
      </c>
      <c r="C23" s="29">
        <v>-7.5596089229987951E-2</v>
      </c>
      <c r="D23" s="5">
        <f>ABS(C23)</f>
        <v>7.5596089229987951E-2</v>
      </c>
      <c r="E23" s="5">
        <v>1.111172956856228E-2</v>
      </c>
      <c r="F23" s="5">
        <v>-6.8032693527628014</v>
      </c>
      <c r="G23" s="5">
        <v>1.0317618323767409E-11</v>
      </c>
      <c r="H23" s="5">
        <v>-9.7375095027492586E-2</v>
      </c>
      <c r="I23" s="5">
        <v>-5.3817083432483308E-2</v>
      </c>
      <c r="J23" s="5" t="b">
        <f>AND(H23&lt;0,I23&gt;0)</f>
        <v>0</v>
      </c>
    </row>
    <row r="24" spans="1:10" x14ac:dyDescent="0.3">
      <c r="A24" s="5">
        <v>21</v>
      </c>
      <c r="B24" s="1" t="s">
        <v>19</v>
      </c>
      <c r="C24" s="29">
        <v>-7.3651256357823255E-2</v>
      </c>
      <c r="D24" s="5">
        <f>ABS(C24)</f>
        <v>7.3651256357823255E-2</v>
      </c>
      <c r="E24" s="5">
        <v>2.2625221506378069E-2</v>
      </c>
      <c r="F24" s="5">
        <v>-3.2552722781989512</v>
      </c>
      <c r="G24" s="5">
        <v>1.133431304611951E-3</v>
      </c>
      <c r="H24" s="5">
        <v>-0.1179967227694029</v>
      </c>
      <c r="I24" s="5">
        <v>-2.9305789946243641E-2</v>
      </c>
      <c r="J24" s="5" t="b">
        <f>AND(H24&lt;0,I24&gt;0)</f>
        <v>0</v>
      </c>
    </row>
    <row r="25" spans="1:10" x14ac:dyDescent="0.3">
      <c r="A25" s="5">
        <v>22</v>
      </c>
      <c r="B25" s="1" t="s">
        <v>33</v>
      </c>
      <c r="C25" s="29">
        <v>-5.2348839430357043E-2</v>
      </c>
      <c r="D25" s="5">
        <f>ABS(C25)</f>
        <v>5.2348839430357043E-2</v>
      </c>
      <c r="E25" s="5">
        <v>1.688247442704207E-2</v>
      </c>
      <c r="F25" s="5">
        <v>-3.1007800222996651</v>
      </c>
      <c r="G25" s="5">
        <v>1.9309627646795671E-3</v>
      </c>
      <c r="H25" s="5">
        <v>-8.5438513378419734E-2</v>
      </c>
      <c r="I25" s="5">
        <v>-1.9259165482294349E-2</v>
      </c>
      <c r="J25" s="5" t="b">
        <f>AND(H25&lt;0,I25&gt;0)</f>
        <v>0</v>
      </c>
    </row>
    <row r="26" spans="1:10" x14ac:dyDescent="0.3">
      <c r="A26" s="5">
        <v>23</v>
      </c>
      <c r="B26" s="1" t="s">
        <v>41</v>
      </c>
      <c r="C26" s="29">
        <v>-4.2242094335771557E-2</v>
      </c>
      <c r="D26" s="5">
        <f>ABS(C26)</f>
        <v>4.2242094335771557E-2</v>
      </c>
      <c r="E26" s="5">
        <v>4.5062990780431146E-3</v>
      </c>
      <c r="F26" s="5">
        <v>-9.3740103806237869</v>
      </c>
      <c r="G26" s="5">
        <v>7.2035468962168358E-21</v>
      </c>
      <c r="H26" s="5">
        <v>-5.1074446953824813E-2</v>
      </c>
      <c r="I26" s="5">
        <v>-3.3409741717718301E-2</v>
      </c>
      <c r="J26" s="5" t="b">
        <f>AND(H26&lt;0,I26&gt;0)</f>
        <v>0</v>
      </c>
    </row>
    <row r="27" spans="1:10" x14ac:dyDescent="0.3">
      <c r="A27" s="5">
        <v>24</v>
      </c>
      <c r="B27" s="1" t="s">
        <v>8</v>
      </c>
      <c r="C27" s="29">
        <v>-1.1938809355201691E-2</v>
      </c>
      <c r="D27" s="5">
        <f>ABS(C27)</f>
        <v>1.1938809355201691E-2</v>
      </c>
      <c r="E27" s="5">
        <v>1.5554939298760969E-3</v>
      </c>
      <c r="F27" s="5">
        <v>-7.6752529379222221</v>
      </c>
      <c r="G27" s="5">
        <v>1.67444454468702E-14</v>
      </c>
      <c r="H27" s="5">
        <v>-1.498757967558469E-2</v>
      </c>
      <c r="I27" s="5">
        <v>-8.8900390348187024E-3</v>
      </c>
      <c r="J27" s="5" t="b">
        <f>AND(H27&lt;0,I27&gt;0)</f>
        <v>0</v>
      </c>
    </row>
  </sheetData>
  <sortState xmlns:xlrd2="http://schemas.microsoft.com/office/spreadsheetml/2017/richdata2" ref="B12:J27">
    <sortCondition descending="1" ref="D12:D27"/>
  </sortState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FE92-D68C-451E-A239-D0246E8A8B99}">
  <dimension ref="A1:O52"/>
  <sheetViews>
    <sheetView workbookViewId="0">
      <selection activeCell="M26" sqref="M26"/>
    </sheetView>
  </sheetViews>
  <sheetFormatPr defaultRowHeight="14.4" x14ac:dyDescent="0.3"/>
  <cols>
    <col min="2" max="2" width="48" style="8" bestFit="1" customWidth="1"/>
    <col min="3" max="3" width="17.77734375" customWidth="1"/>
    <col min="4" max="4" width="23" style="9" customWidth="1"/>
  </cols>
  <sheetData>
    <row r="1" spans="1:15" x14ac:dyDescent="0.3">
      <c r="A1" s="14" t="s">
        <v>54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ht="43.2" x14ac:dyDescent="0.3">
      <c r="A2" s="1" t="s">
        <v>52</v>
      </c>
      <c r="B2" s="1" t="s">
        <v>53</v>
      </c>
      <c r="C2" s="1" t="s">
        <v>0</v>
      </c>
      <c r="D2" s="1" t="s">
        <v>51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6" t="s">
        <v>50</v>
      </c>
      <c r="K2" s="16" t="s">
        <v>56</v>
      </c>
      <c r="L2" s="17"/>
      <c r="M2" s="18" t="s">
        <v>81</v>
      </c>
      <c r="N2" s="18" t="s">
        <v>0</v>
      </c>
      <c r="O2" s="18" t="s">
        <v>82</v>
      </c>
    </row>
    <row r="3" spans="1:15" x14ac:dyDescent="0.3">
      <c r="A3" s="10">
        <v>6</v>
      </c>
      <c r="B3" s="7" t="s">
        <v>42</v>
      </c>
      <c r="C3" s="5">
        <v>-0.1539570227504205</v>
      </c>
      <c r="D3" s="12">
        <f>ABS(C3)</f>
        <v>0.1539570227504205</v>
      </c>
      <c r="E3" s="5">
        <v>1.9660482678032221E-2</v>
      </c>
      <c r="F3" s="5">
        <v>-7.8307855036766423</v>
      </c>
      <c r="G3" s="5">
        <v>4.9230980747177576E-15</v>
      </c>
      <c r="H3" s="5">
        <v>-0.1924915968313127</v>
      </c>
      <c r="I3" s="5">
        <v>-0.1154224486695283</v>
      </c>
      <c r="J3" s="5" t="b">
        <f>AND(H3&lt;0,I3&gt;0)</f>
        <v>0</v>
      </c>
      <c r="K3" s="7" t="s">
        <v>61</v>
      </c>
      <c r="L3">
        <f>C3</f>
        <v>-0.1539570227504205</v>
      </c>
      <c r="M3" s="19"/>
      <c r="N3">
        <f>L3</f>
        <v>-0.1539570227504205</v>
      </c>
      <c r="O3">
        <f>M3*N3</f>
        <v>0</v>
      </c>
    </row>
    <row r="4" spans="1:15" x14ac:dyDescent="0.3">
      <c r="A4" s="10">
        <v>15</v>
      </c>
      <c r="B4" s="7" t="s">
        <v>10</v>
      </c>
      <c r="C4" s="5">
        <v>7.1543898368588016E-2</v>
      </c>
      <c r="D4" s="12">
        <f>ABS(C4)</f>
        <v>7.1543898368588016E-2</v>
      </c>
      <c r="E4" s="5">
        <v>1.9645199718543531E-3</v>
      </c>
      <c r="F4" s="5">
        <v>36.418005107403502</v>
      </c>
      <c r="G4" s="5">
        <v>2.096218544831759E-287</v>
      </c>
      <c r="H4" s="5">
        <v>6.7693436422737632E-2</v>
      </c>
      <c r="I4" s="5">
        <v>7.5394360314438399E-2</v>
      </c>
      <c r="J4" s="5" t="b">
        <f>AND(H4&lt;0,I4&gt;0)</f>
        <v>0</v>
      </c>
      <c r="K4" s="7" t="s">
        <v>70</v>
      </c>
      <c r="L4">
        <f>C4</f>
        <v>7.1543898368588016E-2</v>
      </c>
      <c r="M4" s="19">
        <v>5</v>
      </c>
      <c r="N4">
        <f>L4</f>
        <v>7.1543898368588016E-2</v>
      </c>
      <c r="O4">
        <f>M4*N4</f>
        <v>0.35771949184294005</v>
      </c>
    </row>
    <row r="5" spans="1:15" x14ac:dyDescent="0.3">
      <c r="A5" s="10">
        <v>23</v>
      </c>
      <c r="B5" s="7" t="s">
        <v>11</v>
      </c>
      <c r="C5" s="5">
        <v>4.6658817755808896E-3</v>
      </c>
      <c r="D5" s="12">
        <f>ABS(C5)</f>
        <v>4.6658817755808896E-3</v>
      </c>
      <c r="E5" s="5">
        <v>1.2387137160821079E-3</v>
      </c>
      <c r="F5" s="5">
        <v>3.7667151941600139</v>
      </c>
      <c r="G5" s="5">
        <v>1.6555904813787511E-4</v>
      </c>
      <c r="H5" s="5">
        <v>2.2380011258998742E-3</v>
      </c>
      <c r="I5" s="5">
        <v>7.0937624252619064E-3</v>
      </c>
      <c r="J5" s="5" t="b">
        <f>AND(H5&lt;0,I5&gt;0)</f>
        <v>0</v>
      </c>
      <c r="K5" s="7" t="s">
        <v>78</v>
      </c>
      <c r="L5">
        <f>C5</f>
        <v>4.6658817755808896E-3</v>
      </c>
      <c r="M5" s="19">
        <v>5</v>
      </c>
      <c r="N5">
        <f>L5</f>
        <v>4.6658817755808896E-3</v>
      </c>
      <c r="O5">
        <f>M5*N5</f>
        <v>2.3329408877904446E-2</v>
      </c>
    </row>
    <row r="6" spans="1:15" x14ac:dyDescent="0.3">
      <c r="A6" s="10">
        <v>24</v>
      </c>
      <c r="B6" s="7" t="s">
        <v>7</v>
      </c>
      <c r="C6" s="5">
        <v>9.2842976128919589E-4</v>
      </c>
      <c r="D6" s="12">
        <f>ABS(C6)</f>
        <v>9.2842976128919589E-4</v>
      </c>
      <c r="E6" s="5">
        <v>2.388206266317753E-4</v>
      </c>
      <c r="F6" s="5">
        <v>3.8875610301479191</v>
      </c>
      <c r="G6" s="5">
        <v>1.013596418739731E-4</v>
      </c>
      <c r="H6" s="5">
        <v>4.6034099258006811E-4</v>
      </c>
      <c r="I6" s="5">
        <v>1.3965185299983239E-3</v>
      </c>
      <c r="J6" s="5" t="b">
        <f>AND(H6&lt;0,I6&gt;0)</f>
        <v>0</v>
      </c>
      <c r="K6" s="7" t="s">
        <v>79</v>
      </c>
      <c r="L6">
        <f>C6</f>
        <v>9.2842976128919589E-4</v>
      </c>
      <c r="M6" s="19"/>
      <c r="N6">
        <f>L6</f>
        <v>9.2842976128919589E-4</v>
      </c>
      <c r="O6">
        <f>M6*N6</f>
        <v>0</v>
      </c>
    </row>
    <row r="7" spans="1:15" x14ac:dyDescent="0.3">
      <c r="A7" s="10">
        <v>20</v>
      </c>
      <c r="B7" s="21" t="s">
        <v>22</v>
      </c>
      <c r="C7" s="5">
        <v>3.8692610268414633E-2</v>
      </c>
      <c r="D7" s="12">
        <f>ABS(C7)</f>
        <v>3.8692610268414633E-2</v>
      </c>
      <c r="E7" s="5">
        <v>1.7827674022685751E-2</v>
      </c>
      <c r="F7" s="5">
        <v>2.1703678348155901</v>
      </c>
      <c r="G7" s="5">
        <v>2.9982693169831182E-2</v>
      </c>
      <c r="H7" s="5">
        <v>3.7503437652231589E-3</v>
      </c>
      <c r="I7" s="5">
        <v>7.36348767716061E-2</v>
      </c>
      <c r="J7" s="5" t="b">
        <f>AND(H7&lt;0,I7&gt;0)</f>
        <v>0</v>
      </c>
      <c r="K7" s="7" t="s">
        <v>75</v>
      </c>
      <c r="L7">
        <f>C7</f>
        <v>3.8692610268414633E-2</v>
      </c>
      <c r="M7" s="19"/>
      <c r="N7">
        <f>L7</f>
        <v>3.8692610268414633E-2</v>
      </c>
      <c r="O7">
        <f>M7*N7</f>
        <v>0</v>
      </c>
    </row>
    <row r="8" spans="1:15" x14ac:dyDescent="0.3">
      <c r="A8" s="10">
        <v>5</v>
      </c>
      <c r="B8" s="21" t="s">
        <v>27</v>
      </c>
      <c r="C8" s="5">
        <v>-0.17040149109073749</v>
      </c>
      <c r="D8" s="12">
        <f>ABS(C8)</f>
        <v>0.17040149109073749</v>
      </c>
      <c r="E8" s="5">
        <v>1.8379216206868668E-2</v>
      </c>
      <c r="F8" s="5">
        <v>-9.2714231756550731</v>
      </c>
      <c r="G8" s="5">
        <v>1.8923491991101929E-20</v>
      </c>
      <c r="H8" s="5">
        <v>-0.20642478106131729</v>
      </c>
      <c r="I8" s="5">
        <v>-0.1343782011201578</v>
      </c>
      <c r="J8" s="5" t="b">
        <f>AND(H8&lt;0,I8&gt;0)</f>
        <v>0</v>
      </c>
      <c r="K8" s="7" t="s">
        <v>60</v>
      </c>
      <c r="L8">
        <f>C8</f>
        <v>-0.17040149109073749</v>
      </c>
      <c r="M8" s="19"/>
      <c r="N8">
        <f>L8</f>
        <v>-0.17040149109073749</v>
      </c>
      <c r="O8">
        <f>M8*N8</f>
        <v>0</v>
      </c>
    </row>
    <row r="9" spans="1:15" x14ac:dyDescent="0.3">
      <c r="A9" s="10">
        <v>16</v>
      </c>
      <c r="B9" s="21" t="s">
        <v>31</v>
      </c>
      <c r="C9" s="5">
        <v>5.7974951535824798E-2</v>
      </c>
      <c r="D9" s="12">
        <f>ABS(C9)</f>
        <v>5.7974951535824798E-2</v>
      </c>
      <c r="E9" s="5">
        <v>1.854496042767477E-2</v>
      </c>
      <c r="F9" s="5">
        <v>3.1261836207160831</v>
      </c>
      <c r="G9" s="5">
        <v>1.7717097508305299E-3</v>
      </c>
      <c r="H9" s="5">
        <v>2.162680265614671E-2</v>
      </c>
      <c r="I9" s="5">
        <v>9.4323100415502903E-2</v>
      </c>
      <c r="J9" s="5" t="b">
        <f>AND(H9&lt;0,I9&gt;0)</f>
        <v>0</v>
      </c>
      <c r="K9" s="7" t="s">
        <v>71</v>
      </c>
      <c r="L9">
        <f>C9</f>
        <v>5.7974951535824798E-2</v>
      </c>
      <c r="M9" s="19"/>
      <c r="N9">
        <f>L9</f>
        <v>5.7974951535824798E-2</v>
      </c>
      <c r="O9">
        <f>M9*N9</f>
        <v>0</v>
      </c>
    </row>
    <row r="10" spans="1:15" x14ac:dyDescent="0.3">
      <c r="A10" s="10">
        <v>10</v>
      </c>
      <c r="B10" s="21" t="s">
        <v>32</v>
      </c>
      <c r="C10" s="5">
        <v>-0.1203597854412575</v>
      </c>
      <c r="D10" s="12">
        <f>ABS(C10)</f>
        <v>0.1203597854412575</v>
      </c>
      <c r="E10" s="5">
        <v>1.753714366409128E-2</v>
      </c>
      <c r="F10" s="5">
        <v>-6.8631350547526093</v>
      </c>
      <c r="G10" s="5">
        <v>6.7982521332848819E-12</v>
      </c>
      <c r="H10" s="5">
        <v>-0.15473261202736521</v>
      </c>
      <c r="I10" s="5">
        <v>-8.5986958855149884E-2</v>
      </c>
      <c r="J10" s="5" t="b">
        <f>AND(H10&lt;0,I10&gt;0)</f>
        <v>0</v>
      </c>
      <c r="K10" s="7" t="s">
        <v>65</v>
      </c>
      <c r="L10">
        <f>C10</f>
        <v>-0.1203597854412575</v>
      </c>
      <c r="M10" s="19">
        <v>1</v>
      </c>
      <c r="N10">
        <f>L10</f>
        <v>-0.1203597854412575</v>
      </c>
      <c r="O10">
        <f>M10*N10</f>
        <v>-0.1203597854412575</v>
      </c>
    </row>
    <row r="11" spans="1:15" x14ac:dyDescent="0.3">
      <c r="A11" s="10">
        <v>17</v>
      </c>
      <c r="B11" s="21" t="s">
        <v>33</v>
      </c>
      <c r="C11" s="5">
        <v>-5.2348839430357043E-2</v>
      </c>
      <c r="D11" s="12">
        <f>ABS(C11)</f>
        <v>5.2348839430357043E-2</v>
      </c>
      <c r="E11" s="5">
        <v>1.688247442704207E-2</v>
      </c>
      <c r="F11" s="5">
        <v>-3.1007800222996651</v>
      </c>
      <c r="G11" s="5">
        <v>1.9309627646795671E-3</v>
      </c>
      <c r="H11" s="5">
        <v>-8.5438513378419734E-2</v>
      </c>
      <c r="I11" s="5">
        <v>-1.9259165482294349E-2</v>
      </c>
      <c r="J11" s="5" t="b">
        <f>AND(H11&lt;0,I11&gt;0)</f>
        <v>0</v>
      </c>
      <c r="K11" s="7" t="s">
        <v>72</v>
      </c>
      <c r="L11">
        <f>C11</f>
        <v>-5.2348839430357043E-2</v>
      </c>
      <c r="M11" s="19"/>
      <c r="N11">
        <f>L11</f>
        <v>-5.2348839430357043E-2</v>
      </c>
      <c r="O11">
        <f>M11*N11</f>
        <v>0</v>
      </c>
    </row>
    <row r="12" spans="1:15" x14ac:dyDescent="0.3">
      <c r="A12" s="10">
        <v>3</v>
      </c>
      <c r="B12" s="21" t="s">
        <v>34</v>
      </c>
      <c r="C12" s="5">
        <v>-0.41249482019829092</v>
      </c>
      <c r="D12" s="12">
        <f>ABS(C12)</f>
        <v>0.41249482019829092</v>
      </c>
      <c r="E12" s="5">
        <v>3.2691931792497513E-2</v>
      </c>
      <c r="F12" s="5">
        <v>-12.61763369679349</v>
      </c>
      <c r="G12" s="5">
        <v>1.8677634693524371E-36</v>
      </c>
      <c r="H12" s="5">
        <v>-0.47657105312379688</v>
      </c>
      <c r="I12" s="5">
        <v>-0.34841858727278491</v>
      </c>
      <c r="J12" s="5" t="b">
        <f>AND(H12&lt;0,I12&gt;0)</f>
        <v>0</v>
      </c>
      <c r="K12" s="7" t="s">
        <v>58</v>
      </c>
      <c r="L12">
        <f>C12</f>
        <v>-0.41249482019829092</v>
      </c>
      <c r="M12" s="19"/>
      <c r="N12">
        <f>L12</f>
        <v>-0.41249482019829092</v>
      </c>
      <c r="O12">
        <f>M12*N12</f>
        <v>0</v>
      </c>
    </row>
    <row r="13" spans="1:15" x14ac:dyDescent="0.3">
      <c r="A13" s="10">
        <v>7</v>
      </c>
      <c r="B13" s="21" t="s">
        <v>36</v>
      </c>
      <c r="C13" s="5">
        <v>-0.1338380025973151</v>
      </c>
      <c r="D13" s="12">
        <f>ABS(C13)</f>
        <v>0.1338380025973151</v>
      </c>
      <c r="E13" s="5">
        <v>2.317982715492712E-2</v>
      </c>
      <c r="F13" s="5">
        <v>-5.7738999390625914</v>
      </c>
      <c r="G13" s="5">
        <v>7.7817959366389752E-9</v>
      </c>
      <c r="H13" s="5">
        <v>-0.17927049687080851</v>
      </c>
      <c r="I13" s="5">
        <v>-8.8405508323821658E-2</v>
      </c>
      <c r="J13" s="5" t="b">
        <f>AND(H13&lt;0,I13&gt;0)</f>
        <v>0</v>
      </c>
      <c r="K13" s="7" t="s">
        <v>62</v>
      </c>
      <c r="L13">
        <f>C13</f>
        <v>-0.1338380025973151</v>
      </c>
      <c r="M13" s="19"/>
      <c r="N13">
        <f>L13</f>
        <v>-0.1338380025973151</v>
      </c>
      <c r="O13">
        <f>M13*N13</f>
        <v>0</v>
      </c>
    </row>
    <row r="14" spans="1:15" x14ac:dyDescent="0.3">
      <c r="A14" s="10">
        <v>19</v>
      </c>
      <c r="B14" s="21" t="s">
        <v>39</v>
      </c>
      <c r="C14" s="5">
        <v>4.0959532674197489E-2</v>
      </c>
      <c r="D14" s="12">
        <f>ABS(C14)</f>
        <v>4.0959532674197489E-2</v>
      </c>
      <c r="E14" s="5">
        <v>1.9095742747761189E-2</v>
      </c>
      <c r="F14" s="5">
        <v>2.1449562457579532</v>
      </c>
      <c r="G14" s="5">
        <v>3.1960135804235568E-2</v>
      </c>
      <c r="H14" s="5">
        <v>3.5318496618436741E-3</v>
      </c>
      <c r="I14" s="5">
        <v>7.8387215686551298E-2</v>
      </c>
      <c r="J14" s="5" t="b">
        <f>AND(H14&lt;0,I14&gt;0)</f>
        <v>0</v>
      </c>
      <c r="K14" s="7" t="s">
        <v>74</v>
      </c>
      <c r="L14">
        <f>C14</f>
        <v>4.0959532674197489E-2</v>
      </c>
      <c r="M14" s="19"/>
      <c r="N14">
        <f>L14</f>
        <v>4.0959532674197489E-2</v>
      </c>
      <c r="O14">
        <f>M14*N14</f>
        <v>0</v>
      </c>
    </row>
    <row r="15" spans="1:15" x14ac:dyDescent="0.3">
      <c r="A15" s="10">
        <v>1</v>
      </c>
      <c r="B15" s="7" t="s">
        <v>6</v>
      </c>
      <c r="C15" s="5">
        <v>-8.4219201680249132</v>
      </c>
      <c r="D15" s="12">
        <f>ABS(C15)</f>
        <v>8.4219201680249132</v>
      </c>
      <c r="E15" s="5">
        <v>2.506263634153723</v>
      </c>
      <c r="F15" s="5">
        <v>-3.3603488688326668</v>
      </c>
      <c r="G15" s="5">
        <v>7.7890040342883191E-4</v>
      </c>
      <c r="H15" s="5">
        <v>-13.334200464401089</v>
      </c>
      <c r="I15" s="5">
        <v>-3.509639871648742</v>
      </c>
      <c r="J15" s="5" t="b">
        <f>AND(H15&lt;0,I15&gt;0)</f>
        <v>0</v>
      </c>
      <c r="K15" s="7" t="s">
        <v>80</v>
      </c>
      <c r="L15">
        <f>C15</f>
        <v>-8.4219201680249132</v>
      </c>
      <c r="M15">
        <v>1</v>
      </c>
      <c r="N15">
        <f>L15</f>
        <v>-8.4219201680249132</v>
      </c>
      <c r="O15">
        <f>M15*N15</f>
        <v>-8.4219201680249132</v>
      </c>
    </row>
    <row r="16" spans="1:15" x14ac:dyDescent="0.3">
      <c r="A16" s="10">
        <v>18</v>
      </c>
      <c r="B16" s="7" t="s">
        <v>41</v>
      </c>
      <c r="C16" s="5">
        <v>-4.2242094335771557E-2</v>
      </c>
      <c r="D16" s="12">
        <f>ABS(C16)</f>
        <v>4.2242094335771557E-2</v>
      </c>
      <c r="E16" s="5">
        <v>4.5062990780431146E-3</v>
      </c>
      <c r="F16" s="5">
        <v>-9.3740103806237869</v>
      </c>
      <c r="G16" s="5">
        <v>7.2035468962168358E-21</v>
      </c>
      <c r="H16" s="5">
        <v>-5.1074446953824813E-2</v>
      </c>
      <c r="I16" s="5">
        <v>-3.3409741717718301E-2</v>
      </c>
      <c r="J16" s="5" t="b">
        <f>AND(H16&lt;0,I16&gt;0)</f>
        <v>0</v>
      </c>
      <c r="K16" s="7" t="s">
        <v>73</v>
      </c>
      <c r="L16">
        <f>C16</f>
        <v>-4.2242094335771557E-2</v>
      </c>
      <c r="M16" s="19"/>
      <c r="N16">
        <f>L16</f>
        <v>-4.2242094335771557E-2</v>
      </c>
      <c r="O16">
        <f>M16*N16</f>
        <v>0</v>
      </c>
    </row>
    <row r="17" spans="1:15" x14ac:dyDescent="0.3">
      <c r="A17" s="10">
        <v>22</v>
      </c>
      <c r="B17" s="7" t="s">
        <v>8</v>
      </c>
      <c r="C17" s="5">
        <v>-1.1938809355201691E-2</v>
      </c>
      <c r="D17" s="12">
        <f>ABS(C17)</f>
        <v>1.1938809355201691E-2</v>
      </c>
      <c r="E17" s="5">
        <v>1.5554939298760969E-3</v>
      </c>
      <c r="F17" s="5">
        <v>-7.6752529379222221</v>
      </c>
      <c r="G17" s="5">
        <v>1.67444454468702E-14</v>
      </c>
      <c r="H17" s="5">
        <v>-1.498757967558469E-2</v>
      </c>
      <c r="I17" s="5">
        <v>-8.8900390348187024E-3</v>
      </c>
      <c r="J17" s="5" t="b">
        <f>AND(H17&lt;0,I17&gt;0)</f>
        <v>0</v>
      </c>
      <c r="K17" s="7" t="s">
        <v>77</v>
      </c>
      <c r="L17">
        <f>C17</f>
        <v>-1.1938809355201691E-2</v>
      </c>
      <c r="M17" s="19">
        <v>6</v>
      </c>
      <c r="N17">
        <f>L17</f>
        <v>-1.1938809355201691E-2</v>
      </c>
      <c r="O17">
        <f>M17*N17</f>
        <v>-7.1632856131210149E-2</v>
      </c>
    </row>
    <row r="18" spans="1:15" x14ac:dyDescent="0.3">
      <c r="A18" s="10">
        <v>4</v>
      </c>
      <c r="B18" s="23" t="s">
        <v>15</v>
      </c>
      <c r="C18" s="5">
        <v>-0.1853526101930846</v>
      </c>
      <c r="D18" s="12">
        <f>ABS(C18)</f>
        <v>0.1853526101930846</v>
      </c>
      <c r="E18" s="5">
        <v>2.002373354264721E-2</v>
      </c>
      <c r="F18" s="5">
        <v>-9.2566458596901757</v>
      </c>
      <c r="G18" s="5">
        <v>2.1729576322683729E-20</v>
      </c>
      <c r="H18" s="5">
        <v>-0.22459915648654591</v>
      </c>
      <c r="I18" s="5">
        <v>-0.14610606389962341</v>
      </c>
      <c r="J18" s="5" t="b">
        <f>AND(H18&lt;0,I18&gt;0)</f>
        <v>0</v>
      </c>
      <c r="K18" s="7" t="s">
        <v>59</v>
      </c>
      <c r="L18">
        <f>C18</f>
        <v>-0.1853526101930846</v>
      </c>
      <c r="M18" s="19"/>
      <c r="N18">
        <f>L18</f>
        <v>-0.1853526101930846</v>
      </c>
      <c r="O18">
        <f>M18*N18</f>
        <v>0</v>
      </c>
    </row>
    <row r="19" spans="1:15" x14ac:dyDescent="0.3">
      <c r="A19" s="10">
        <v>11</v>
      </c>
      <c r="B19" s="23" t="s">
        <v>16</v>
      </c>
      <c r="C19" s="5">
        <v>-0.118184362086751</v>
      </c>
      <c r="D19" s="12">
        <f>ABS(C19)</f>
        <v>0.118184362086751</v>
      </c>
      <c r="E19" s="5">
        <v>2.240570692599329E-2</v>
      </c>
      <c r="F19" s="5">
        <v>-5.2747437283330267</v>
      </c>
      <c r="G19" s="5">
        <v>1.333771533346724E-7</v>
      </c>
      <c r="H19" s="5">
        <v>-0.16209957960779209</v>
      </c>
      <c r="I19" s="5">
        <v>-7.4269144565709766E-2</v>
      </c>
      <c r="J19" s="5" t="b">
        <f>AND(H19&lt;0,I19&gt;0)</f>
        <v>0</v>
      </c>
      <c r="K19" s="7" t="s">
        <v>66</v>
      </c>
      <c r="L19">
        <f>C19</f>
        <v>-0.118184362086751</v>
      </c>
      <c r="M19" s="19"/>
      <c r="N19">
        <f>L19</f>
        <v>-0.118184362086751</v>
      </c>
      <c r="O19">
        <f>M19*N19</f>
        <v>0</v>
      </c>
    </row>
    <row r="20" spans="1:15" x14ac:dyDescent="0.3">
      <c r="A20" s="10">
        <v>9</v>
      </c>
      <c r="B20" s="23" t="s">
        <v>17</v>
      </c>
      <c r="C20" s="5">
        <v>-0.12270002789456171</v>
      </c>
      <c r="D20" s="12">
        <f>ABS(C20)</f>
        <v>0.12270002789456171</v>
      </c>
      <c r="E20" s="5">
        <v>8.7269351158987384E-3</v>
      </c>
      <c r="F20" s="5">
        <v>-14.059922099228929</v>
      </c>
      <c r="G20" s="5">
        <v>7.821919720338315E-45</v>
      </c>
      <c r="H20" s="5">
        <v>-0.13980483316460179</v>
      </c>
      <c r="I20" s="5">
        <v>-0.10559522262452151</v>
      </c>
      <c r="J20" s="5" t="b">
        <f>AND(H20&lt;0,I20&gt;0)</f>
        <v>0</v>
      </c>
      <c r="K20" s="7" t="s">
        <v>64</v>
      </c>
      <c r="L20">
        <f>C20</f>
        <v>-0.12270002789456171</v>
      </c>
      <c r="M20" s="19"/>
      <c r="N20">
        <f>L20</f>
        <v>-0.12270002789456171</v>
      </c>
      <c r="O20">
        <f>M20*N20</f>
        <v>0</v>
      </c>
    </row>
    <row r="21" spans="1:15" x14ac:dyDescent="0.3">
      <c r="A21" s="10">
        <v>13</v>
      </c>
      <c r="B21" s="23" t="s">
        <v>18</v>
      </c>
      <c r="C21" s="5">
        <v>-7.5596089229987951E-2</v>
      </c>
      <c r="D21" s="12">
        <f>ABS(C21)</f>
        <v>7.5596089229987951E-2</v>
      </c>
      <c r="E21" s="5">
        <v>1.111172956856228E-2</v>
      </c>
      <c r="F21" s="5">
        <v>-6.8032693527628014</v>
      </c>
      <c r="G21" s="5">
        <v>1.0317618323767409E-11</v>
      </c>
      <c r="H21" s="5">
        <v>-9.7375095027492586E-2</v>
      </c>
      <c r="I21" s="5">
        <v>-5.3817083432483308E-2</v>
      </c>
      <c r="J21" s="5" t="b">
        <f>AND(H21&lt;0,I21&gt;0)</f>
        <v>0</v>
      </c>
      <c r="K21" s="7" t="s">
        <v>68</v>
      </c>
      <c r="L21">
        <f>C21</f>
        <v>-7.5596089229987951E-2</v>
      </c>
      <c r="M21" s="19"/>
      <c r="N21">
        <f>L21</f>
        <v>-7.5596089229987951E-2</v>
      </c>
      <c r="O21">
        <f>M21*N21</f>
        <v>0</v>
      </c>
    </row>
    <row r="22" spans="1:15" x14ac:dyDescent="0.3">
      <c r="A22" s="10">
        <v>14</v>
      </c>
      <c r="B22" s="23" t="s">
        <v>19</v>
      </c>
      <c r="C22" s="5">
        <v>-7.3651256357823255E-2</v>
      </c>
      <c r="D22" s="12">
        <f>ABS(C22)</f>
        <v>7.3651256357823255E-2</v>
      </c>
      <c r="E22" s="5">
        <v>2.2625221506378069E-2</v>
      </c>
      <c r="F22" s="5">
        <v>-3.2552722781989512</v>
      </c>
      <c r="G22" s="5">
        <v>1.133431304611951E-3</v>
      </c>
      <c r="H22" s="5">
        <v>-0.1179967227694029</v>
      </c>
      <c r="I22" s="5">
        <v>-2.9305789946243641E-2</v>
      </c>
      <c r="J22" s="5" t="b">
        <f>AND(H22&lt;0,I22&gt;0)</f>
        <v>0</v>
      </c>
      <c r="K22" s="7" t="s">
        <v>69</v>
      </c>
      <c r="L22">
        <f>C22</f>
        <v>-7.3651256357823255E-2</v>
      </c>
      <c r="M22" s="19"/>
      <c r="N22">
        <f>L22</f>
        <v>-7.3651256357823255E-2</v>
      </c>
      <c r="O22">
        <f>M22*N22</f>
        <v>0</v>
      </c>
    </row>
    <row r="23" spans="1:15" x14ac:dyDescent="0.3">
      <c r="A23" s="10">
        <v>8</v>
      </c>
      <c r="B23" s="23" t="s">
        <v>20</v>
      </c>
      <c r="C23" s="5">
        <v>-0.1333396883631244</v>
      </c>
      <c r="D23" s="12">
        <f>ABS(C23)</f>
        <v>0.1333396883631244</v>
      </c>
      <c r="E23" s="5">
        <v>4.6395985398517602E-2</v>
      </c>
      <c r="F23" s="5">
        <v>-2.8739488388446799</v>
      </c>
      <c r="G23" s="5">
        <v>4.055094014096104E-3</v>
      </c>
      <c r="H23" s="5">
        <v>-0.22427588589569239</v>
      </c>
      <c r="I23" s="5">
        <v>-4.2403490830556459E-2</v>
      </c>
      <c r="J23" s="5" t="b">
        <f>AND(H23&lt;0,I23&gt;0)</f>
        <v>0</v>
      </c>
      <c r="K23" s="7" t="s">
        <v>63</v>
      </c>
      <c r="L23">
        <f>C23</f>
        <v>-0.1333396883631244</v>
      </c>
      <c r="M23" s="19"/>
      <c r="N23">
        <f>L23</f>
        <v>-0.1333396883631244</v>
      </c>
      <c r="O23">
        <f>M23*N23</f>
        <v>0</v>
      </c>
    </row>
    <row r="24" spans="1:15" x14ac:dyDescent="0.3">
      <c r="A24" s="10">
        <v>12</v>
      </c>
      <c r="B24" s="23" t="s">
        <v>21</v>
      </c>
      <c r="C24" s="5">
        <v>-0.10940313038536829</v>
      </c>
      <c r="D24" s="12">
        <f>ABS(C24)</f>
        <v>0.10940313038536829</v>
      </c>
      <c r="E24" s="5">
        <v>1.1264459964695999E-2</v>
      </c>
      <c r="F24" s="5">
        <v>-9.7122392665293482</v>
      </c>
      <c r="G24" s="5">
        <v>2.7714661972169622E-22</v>
      </c>
      <c r="H24" s="5">
        <v>-0.13148148797705819</v>
      </c>
      <c r="I24" s="5">
        <v>-8.7324772793678271E-2</v>
      </c>
      <c r="J24" s="5" t="b">
        <f>AND(H24&lt;0,I24&gt;0)</f>
        <v>0</v>
      </c>
      <c r="K24" s="7" t="s">
        <v>67</v>
      </c>
      <c r="L24">
        <f>C24</f>
        <v>-0.10940313038536829</v>
      </c>
      <c r="M24" s="19"/>
      <c r="N24">
        <f>L24</f>
        <v>-0.10940313038536829</v>
      </c>
      <c r="O24">
        <f>M24*N24</f>
        <v>0</v>
      </c>
    </row>
    <row r="25" spans="1:15" x14ac:dyDescent="0.3">
      <c r="A25" s="10">
        <v>2</v>
      </c>
      <c r="B25" s="7" t="s">
        <v>12</v>
      </c>
      <c r="C25" s="5">
        <v>0.66724042879836931</v>
      </c>
      <c r="D25" s="12">
        <f>ABS(C25)</f>
        <v>0.66724042879836931</v>
      </c>
      <c r="E25" s="5">
        <v>1.9488721064494609E-3</v>
      </c>
      <c r="F25" s="5">
        <v>342.37260956747792</v>
      </c>
      <c r="G25" s="5">
        <v>0</v>
      </c>
      <c r="H25" s="5">
        <v>0.66342063669102325</v>
      </c>
      <c r="I25" s="5">
        <v>0.67106022090571538</v>
      </c>
      <c r="J25" s="5" t="b">
        <f>AND(H25&lt;0,I25&gt;0)</f>
        <v>0</v>
      </c>
      <c r="K25" s="7" t="s">
        <v>57</v>
      </c>
      <c r="L25">
        <f>C25</f>
        <v>0.66724042879836931</v>
      </c>
      <c r="M25" s="19">
        <v>4</v>
      </c>
      <c r="N25">
        <f>L25</f>
        <v>0.66724042879836931</v>
      </c>
      <c r="O25">
        <f>M25*N25</f>
        <v>2.6689617151934772</v>
      </c>
    </row>
    <row r="26" spans="1:15" x14ac:dyDescent="0.3">
      <c r="A26" s="10">
        <v>21</v>
      </c>
      <c r="B26" s="7" t="s">
        <v>9</v>
      </c>
      <c r="C26" s="5">
        <v>2.9836539754744009E-2</v>
      </c>
      <c r="D26" s="12">
        <f>ABS(C26)</f>
        <v>2.9836539754744009E-2</v>
      </c>
      <c r="E26" s="5">
        <v>2.9655753281241648E-3</v>
      </c>
      <c r="F26" s="5">
        <v>10.06096168651926</v>
      </c>
      <c r="G26" s="5">
        <v>8.5646706933695157E-24</v>
      </c>
      <c r="H26" s="5">
        <v>2.40240078832984E-2</v>
      </c>
      <c r="I26" s="5">
        <v>3.5649071626189632E-2</v>
      </c>
      <c r="J26" s="5" t="b">
        <f>AND(H26&lt;0,I26&gt;0)</f>
        <v>0</v>
      </c>
      <c r="K26" s="7" t="s">
        <v>76</v>
      </c>
      <c r="L26">
        <f>C26</f>
        <v>2.9836539754744009E-2</v>
      </c>
      <c r="M26" s="19"/>
      <c r="N26">
        <f>L26</f>
        <v>2.9836539754744009E-2</v>
      </c>
      <c r="O26">
        <f>M26*N26</f>
        <v>0</v>
      </c>
    </row>
    <row r="27" spans="1:15" x14ac:dyDescent="0.3">
      <c r="L27" s="13" t="s">
        <v>83</v>
      </c>
      <c r="M27" s="13"/>
      <c r="N27" s="13"/>
      <c r="O27" s="20">
        <f>SUM(O3:O26)</f>
        <v>-5.5639021936830577</v>
      </c>
    </row>
    <row r="29" spans="1:15" x14ac:dyDescent="0.3">
      <c r="B29" s="15" t="s">
        <v>55</v>
      </c>
    </row>
    <row r="32" spans="1:15" x14ac:dyDescent="0.3">
      <c r="B32" s="8" t="s">
        <v>84</v>
      </c>
      <c r="C32">
        <v>2020</v>
      </c>
      <c r="D32" s="9">
        <v>1</v>
      </c>
    </row>
    <row r="33" spans="2:8" x14ac:dyDescent="0.3">
      <c r="C33">
        <v>2021</v>
      </c>
      <c r="D33" s="9">
        <v>2</v>
      </c>
    </row>
    <row r="34" spans="2:8" x14ac:dyDescent="0.3">
      <c r="C34">
        <v>2022</v>
      </c>
      <c r="D34" s="9">
        <v>3</v>
      </c>
    </row>
    <row r="35" spans="2:8" x14ac:dyDescent="0.3">
      <c r="C35">
        <v>2023</v>
      </c>
      <c r="D35" s="9">
        <v>4</v>
      </c>
    </row>
    <row r="36" spans="2:8" x14ac:dyDescent="0.3">
      <c r="C36">
        <v>2024</v>
      </c>
      <c r="D36" s="9">
        <v>5</v>
      </c>
    </row>
    <row r="37" spans="2:8" x14ac:dyDescent="0.3">
      <c r="C37">
        <v>2025</v>
      </c>
      <c r="D37" s="9">
        <v>6</v>
      </c>
    </row>
    <row r="41" spans="2:8" x14ac:dyDescent="0.3">
      <c r="B41" s="22" t="s">
        <v>85</v>
      </c>
      <c r="C41" t="s">
        <v>87</v>
      </c>
      <c r="D41" s="9">
        <v>1</v>
      </c>
      <c r="H41" s="22" t="s">
        <v>86</v>
      </c>
    </row>
    <row r="42" spans="2:8" x14ac:dyDescent="0.3">
      <c r="C42" t="s">
        <v>88</v>
      </c>
      <c r="D42" s="9">
        <v>2</v>
      </c>
    </row>
    <row r="43" spans="2:8" x14ac:dyDescent="0.3">
      <c r="C43" t="s">
        <v>89</v>
      </c>
      <c r="D43" s="9">
        <v>3</v>
      </c>
    </row>
    <row r="44" spans="2:8" x14ac:dyDescent="0.3">
      <c r="C44" t="s">
        <v>90</v>
      </c>
      <c r="D44" s="9">
        <v>4</v>
      </c>
    </row>
    <row r="45" spans="2:8" x14ac:dyDescent="0.3">
      <c r="C45" t="s">
        <v>91</v>
      </c>
      <c r="D45" s="9">
        <v>5</v>
      </c>
    </row>
    <row r="46" spans="2:8" x14ac:dyDescent="0.3">
      <c r="C46" t="s">
        <v>92</v>
      </c>
      <c r="D46" s="9">
        <v>6</v>
      </c>
    </row>
    <row r="48" spans="2:8" x14ac:dyDescent="0.3">
      <c r="B48" s="8" t="s">
        <v>9</v>
      </c>
      <c r="C48">
        <v>1</v>
      </c>
    </row>
    <row r="49" spans="2:3" x14ac:dyDescent="0.3">
      <c r="B49" s="8" t="s">
        <v>8</v>
      </c>
      <c r="C49">
        <v>2</v>
      </c>
    </row>
    <row r="50" spans="2:3" x14ac:dyDescent="0.3">
      <c r="C50">
        <v>3</v>
      </c>
    </row>
    <row r="52" spans="2:3" x14ac:dyDescent="0.3">
      <c r="B52" s="7" t="s">
        <v>15</v>
      </c>
      <c r="C52" t="s">
        <v>93</v>
      </c>
    </row>
  </sheetData>
  <sortState xmlns:xlrd2="http://schemas.microsoft.com/office/spreadsheetml/2017/richdata2" ref="A3:O26">
    <sortCondition ref="B3:B26"/>
  </sortState>
  <mergeCells count="3">
    <mergeCell ref="A1:J1"/>
    <mergeCell ref="K2:L2"/>
    <mergeCell ref="L27:N2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Coefficients</vt:lpstr>
      <vt:lpstr>Sheet2</vt:lpstr>
      <vt:lpstr>Metrics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JONDHALE</cp:lastModifiedBy>
  <dcterms:created xsi:type="dcterms:W3CDTF">2025-12-03T20:46:34Z</dcterms:created>
  <dcterms:modified xsi:type="dcterms:W3CDTF">2025-12-03T22:28:45Z</dcterms:modified>
</cp:coreProperties>
</file>